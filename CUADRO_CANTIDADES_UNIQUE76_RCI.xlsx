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NIVEL" sheetId="2" state="visible" r:id="rId4"/>
    <sheet name="BD_REVIT" sheetId="3" state="visible" r:id="rId5"/>
    <sheet name="CRUCE RCI" sheetId="4" state="visible" r:id="rId6"/>
    <sheet name="LISTAS" sheetId="5" state="hidden" r:id="rId7"/>
  </sheets>
  <definedNames>
    <definedName function="false" hidden="false" name="A900." vbProcedure="false">#REF!</definedName>
    <definedName function="false" hidden="false" name="EMPALME" vbProcedure="false">#REF!</definedName>
    <definedName function="false" hidden="false" name="GRASA" vbProcedure="false">#REF!</definedName>
    <definedName function="false" hidden="false" name="_B114646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<sst xmlns="http://schemas.openxmlformats.org/spreadsheetml/2006/main" count="5403" uniqueCount="1138">
  <si>
    <t xml:space="preserve">DASHBOARD DE CANTIDADES RCI – UNIQUE 76</t>
  </si>
  <si>
    <t xml:space="preserve">Todo se recalcula desde BD_REVIT. Cambie el código en la celda amarilla para ver otro ítem.</t>
  </si>
  <si>
    <t xml:space="preserve">Elementos Revit</t>
  </si>
  <si>
    <t xml:space="preserve">Asignados</t>
  </si>
  <si>
    <t xml:space="preserve">Sin asignar</t>
  </si>
  <si>
    <t xml:space="preserve">% asignado</t>
  </si>
  <si>
    <t xml:space="preserve">Ítems cap. 7 con cantidad</t>
  </si>
  <si>
    <t xml:space="preserve">Niveles con elementos</t>
  </si>
  <si>
    <t xml:space="preserve">ÍTEM SELECCIONADO</t>
  </si>
  <si>
    <t xml:space="preserve">RESUMEN POR CATEGORÍA</t>
  </si>
  <si>
    <t xml:space="preserve">Código</t>
  </si>
  <si>
    <t xml:space="preserve">7.08</t>
  </si>
  <si>
    <t xml:space="preserve">Categoría</t>
  </si>
  <si>
    <t xml:space="preserve">Elementos</t>
  </si>
  <si>
    <t xml:space="preserve">Descripción</t>
  </si>
  <si>
    <t xml:space="preserve">Accesorios</t>
  </si>
  <si>
    <t xml:space="preserve">Unidad</t>
  </si>
  <si>
    <t xml:space="preserve">Equipos</t>
  </si>
  <si>
    <t xml:space="preserve">Cantidad global</t>
  </si>
  <si>
    <t xml:space="preserve">Rociadores</t>
  </si>
  <si>
    <t xml:space="preserve">Soportes</t>
  </si>
  <si>
    <t xml:space="preserve">Tuberías</t>
  </si>
  <si>
    <t xml:space="preserve">Nivel de piso</t>
  </si>
  <si>
    <t xml:space="preserve">Cantidad ítem</t>
  </si>
  <si>
    <t xml:space="preserve">Elementos (todos)</t>
  </si>
  <si>
    <t xml:space="preserve">Uniones</t>
  </si>
  <si>
    <t xml:space="preserve">Cuarto de Bomba Sub</t>
  </si>
  <si>
    <t xml:space="preserve">TOTAL</t>
  </si>
  <si>
    <t xml:space="preserve">Sótano 4</t>
  </si>
  <si>
    <t xml:space="preserve">Sótano 3</t>
  </si>
  <si>
    <t xml:space="preserve">Sótano 2</t>
  </si>
  <si>
    <t xml:space="preserve">Sótano 1</t>
  </si>
  <si>
    <t xml:space="preserve">Semisótano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</si>
  <si>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</si>
  <si>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</si>
  <si>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</si>
  <si>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</si>
  <si>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</si>
  <si>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</si>
  <si>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</si>
  <si>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</si>
  <si>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</si>
  <si>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</si>
  <si>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</si>
  <si>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</si>
  <si>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</si>
  <si>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</si>
  <si>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</si>
  <si>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PROYECTO: UNIQUE 76</t>
  </si>
  <si>
    <t xml:space="preserve">CUADRO DE CANTIDADES MONTAJE HIDROSANITARIO Y RCI</t>
  </si>
  <si>
    <t xml:space="preserve">Cap. 7 (RCI): cantidades globales calculadas desde BD_REVIT. Ítems 'Manual' se diligencian a mano.</t>
  </si>
  <si>
    <t xml:space="preserve">ITEM</t>
  </si>
  <si>
    <t xml:space="preserve">DESCRIPCIÓN</t>
  </si>
  <si>
    <t xml:space="preserve">UND.</t>
  </si>
  <si>
    <t xml:space="preserve">CANT.</t>
  </si>
  <si>
    <t xml:space="preserve">FUENTE</t>
  </si>
  <si>
    <t xml:space="preserve">RED DE AGUAS LLUVIAS</t>
  </si>
  <si>
    <t xml:space="preserve">-</t>
  </si>
  <si>
    <t xml:space="preserve">Puntos, incluyen 1,00 mt a menos que se indique lo contrario</t>
  </si>
  <si>
    <t xml:space="preserve">1.01</t>
  </si>
  <si>
    <t xml:space="preserve">Puntos Aguas lluvias ø2"</t>
  </si>
  <si>
    <t xml:space="preserve">Un.</t>
  </si>
  <si>
    <t xml:space="preserve">1.02</t>
  </si>
  <si>
    <t xml:space="preserve">Puntos Aguas lluvias ø3"</t>
  </si>
  <si>
    <t xml:space="preserve">1.03</t>
  </si>
  <si>
    <t xml:space="preserve">Puntos Aguas lluvias ø4"</t>
  </si>
  <si>
    <t xml:space="preserve">1.04</t>
  </si>
  <si>
    <t xml:space="preserve">Pasantes en placa ø2" (sacanucleos)</t>
  </si>
  <si>
    <t xml:space="preserve">1.05</t>
  </si>
  <si>
    <t xml:space="preserve">Pasantes en placa ø3" (sacanucleos)</t>
  </si>
  <si>
    <t xml:space="preserve">1.06</t>
  </si>
  <si>
    <t xml:space="preserve">Pasantes en placa ø4" (sacanucleos)</t>
  </si>
  <si>
    <t xml:space="preserve">Tubería Colectores Descolgados</t>
  </si>
  <si>
    <t xml:space="preserve">1.07</t>
  </si>
  <si>
    <t xml:space="preserve">Tubería De ø2" PVC-Sanitaria</t>
  </si>
  <si>
    <t xml:space="preserve">Ml.</t>
  </si>
  <si>
    <t xml:space="preserve">1.08</t>
  </si>
  <si>
    <t xml:space="preserve">Tubería De ø3" PVC-Sanitaria</t>
  </si>
  <si>
    <t xml:space="preserve">1.09</t>
  </si>
  <si>
    <t xml:space="preserve">Tubería De ø4" PVC-Sanitaria</t>
  </si>
  <si>
    <t xml:space="preserve">1.10</t>
  </si>
  <si>
    <t xml:space="preserve">Soporte pera 2"</t>
  </si>
  <si>
    <t xml:space="preserve">1.11</t>
  </si>
  <si>
    <t xml:space="preserve">Soporte pera 3"</t>
  </si>
  <si>
    <t xml:space="preserve">1.12</t>
  </si>
  <si>
    <t xml:space="preserve">Soporte pera 4"</t>
  </si>
  <si>
    <t xml:space="preserve">1.13</t>
  </si>
  <si>
    <t xml:space="preserve">Pasante en muro contencion 4"</t>
  </si>
  <si>
    <t xml:space="preserve">Tubería Bajantes</t>
  </si>
  <si>
    <t xml:space="preserve">1.14</t>
  </si>
  <si>
    <t xml:space="preserve">Tuberia De ø4" PVC-Sanitaria</t>
  </si>
  <si>
    <t xml:space="preserve">1.15</t>
  </si>
  <si>
    <t xml:space="preserve">Tuberia De ø3" PVC-Sanitaria</t>
  </si>
  <si>
    <t xml:space="preserve">1.16</t>
  </si>
  <si>
    <t xml:space="preserve">Tuberia De ø2" PVC-Sanitaria</t>
  </si>
  <si>
    <t xml:space="preserve">1.20</t>
  </si>
  <si>
    <t xml:space="preserve">Soporte riel chanel 4"</t>
  </si>
  <si>
    <t xml:space="preserve">1.21</t>
  </si>
  <si>
    <t xml:space="preserve">Soporte riel chanel 3"</t>
  </si>
  <si>
    <t xml:space="preserve">1.22</t>
  </si>
  <si>
    <t xml:space="preserve">Soporte riel chanel 2"</t>
  </si>
  <si>
    <t xml:space="preserve">Tubería Colectores Enterrados</t>
  </si>
  <si>
    <t xml:space="preserve">1.23</t>
  </si>
  <si>
    <t xml:space="preserve">1.24</t>
  </si>
  <si>
    <t xml:space="preserve">Cajas de Inspección en mamposteria (medidas internas)</t>
  </si>
  <si>
    <t xml:space="preserve">1.25</t>
  </si>
  <si>
    <t xml:space="preserve">Hmax. 1,00 mt  1,00 × 1,00</t>
  </si>
  <si>
    <t xml:space="preserve">1.26</t>
  </si>
  <si>
    <t xml:space="preserve">Hmax. 2,50 mt  2,50 × 2,00 Pozo eyector</t>
  </si>
  <si>
    <t xml:space="preserve">Movimientos de Tierra</t>
  </si>
  <si>
    <t xml:space="preserve">1.27</t>
  </si>
  <si>
    <t xml:space="preserve">Excavación en material Comun</t>
  </si>
  <si>
    <t xml:space="preserve">M3</t>
  </si>
  <si>
    <t xml:space="preserve">1.28</t>
  </si>
  <si>
    <t xml:space="preserve">Relleno Material Seleccionado</t>
  </si>
  <si>
    <t xml:space="preserve">Uniones / Accesorios</t>
  </si>
  <si>
    <t xml:space="preserve">Tapon de Prueba D=2"</t>
  </si>
  <si>
    <t xml:space="preserve">Tapon de Prueba D=3"</t>
  </si>
  <si>
    <t xml:space="preserve">Tapon de Prueba D=4"</t>
  </si>
  <si>
    <t xml:space="preserve">1.29</t>
  </si>
  <si>
    <t xml:space="preserve">Empalme PVC Serie 40 DWV D=4x4"</t>
  </si>
  <si>
    <t xml:space="preserve">1.30</t>
  </si>
  <si>
    <t xml:space="preserve">Adaptador de limpieza D=4"</t>
  </si>
  <si>
    <t xml:space="preserve">1.31</t>
  </si>
  <si>
    <t xml:space="preserve">Buje sanitario D=2x2"</t>
  </si>
  <si>
    <t xml:space="preserve">1.32</t>
  </si>
  <si>
    <t xml:space="preserve">Buje sanitario D=3x3"</t>
  </si>
  <si>
    <t xml:space="preserve">1.33</t>
  </si>
  <si>
    <t xml:space="preserve">Buje sanitario D=3x2"</t>
  </si>
  <si>
    <t xml:space="preserve">1.34</t>
  </si>
  <si>
    <t xml:space="preserve">Buje sanitario D=4x2"</t>
  </si>
  <si>
    <t xml:space="preserve">1.35</t>
  </si>
  <si>
    <t xml:space="preserve">Buje sanitario D=4x3"</t>
  </si>
  <si>
    <t xml:space="preserve">1.36</t>
  </si>
  <si>
    <t xml:space="preserve">Buje sanitario D=4x4"</t>
  </si>
  <si>
    <t xml:space="preserve">1.37</t>
  </si>
  <si>
    <t xml:space="preserve">Codo sanitario 45° D=2" (CXE)</t>
  </si>
  <si>
    <t xml:space="preserve">1.38</t>
  </si>
  <si>
    <t xml:space="preserve">Codo sanitario 45° D=3" (CXE)</t>
  </si>
  <si>
    <t xml:space="preserve">1.39</t>
  </si>
  <si>
    <t xml:space="preserve">Codo sanitario 45° D=4" (CXE)</t>
  </si>
  <si>
    <t xml:space="preserve">1.40</t>
  </si>
  <si>
    <t xml:space="preserve">Codo sanitario 90° D=2" (CXE)</t>
  </si>
  <si>
    <t xml:space="preserve">1.41</t>
  </si>
  <si>
    <t xml:space="preserve">Codo sanitario 45° D=2x2"</t>
  </si>
  <si>
    <t xml:space="preserve">1.42</t>
  </si>
  <si>
    <t xml:space="preserve">Codo sanitario 45° D=3x3"</t>
  </si>
  <si>
    <t xml:space="preserve">1.43</t>
  </si>
  <si>
    <t xml:space="preserve">Codo sanitario 45° D=4x4"</t>
  </si>
  <si>
    <t xml:space="preserve">1.44</t>
  </si>
  <si>
    <t xml:space="preserve">Codo sanitario 90° D=2x2"</t>
  </si>
  <si>
    <t xml:space="preserve">1.45</t>
  </si>
  <si>
    <t xml:space="preserve">Codo sanitario 90° D=3x3"</t>
  </si>
  <si>
    <t xml:space="preserve">1.46</t>
  </si>
  <si>
    <t xml:space="preserve">Codo sanitario 90° D=4x4"</t>
  </si>
  <si>
    <t xml:space="preserve">1.47</t>
  </si>
  <si>
    <t xml:space="preserve">Sifón 135° D=3x3"</t>
  </si>
  <si>
    <t xml:space="preserve">1.48</t>
  </si>
  <si>
    <t xml:space="preserve">Sifón 180° D=2x2"</t>
  </si>
  <si>
    <t xml:space="preserve">1.49</t>
  </si>
  <si>
    <t xml:space="preserve">Unión sanitaria D=2x2"</t>
  </si>
  <si>
    <t xml:space="preserve">1.50</t>
  </si>
  <si>
    <t xml:space="preserve">Unión sanitaria D=3x3"</t>
  </si>
  <si>
    <t xml:space="preserve">1.51</t>
  </si>
  <si>
    <t xml:space="preserve">Unión sanitaria D=4x4"</t>
  </si>
  <si>
    <t xml:space="preserve">1.52</t>
  </si>
  <si>
    <t xml:space="preserve">Yee sanitaria D=2x2x2"</t>
  </si>
  <si>
    <t xml:space="preserve">1.53</t>
  </si>
  <si>
    <t xml:space="preserve">Yee sanitaria D=3x2x2"</t>
  </si>
  <si>
    <t xml:space="preserve">1.54</t>
  </si>
  <si>
    <t xml:space="preserve">Yee sanitaria D=3x3x2"</t>
  </si>
  <si>
    <t xml:space="preserve">1.55</t>
  </si>
  <si>
    <t xml:space="preserve">Yee sanitaria D=3x3x3"</t>
  </si>
  <si>
    <t xml:space="preserve">1.56</t>
  </si>
  <si>
    <t xml:space="preserve">Yee sanitaria D=4x2x2"</t>
  </si>
  <si>
    <t xml:space="preserve">1.57</t>
  </si>
  <si>
    <t xml:space="preserve">Yee sanitaria D=4x4x2"</t>
  </si>
  <si>
    <t xml:space="preserve">1.58</t>
  </si>
  <si>
    <t xml:space="preserve">Yee sanitaria D=4x4x3"</t>
  </si>
  <si>
    <t xml:space="preserve">1.59</t>
  </si>
  <si>
    <t xml:space="preserve">Yee sanitaria D=4x4x4"</t>
  </si>
  <si>
    <t xml:space="preserve">1.19</t>
  </si>
  <si>
    <t xml:space="preserve">Junta de expansión D=2"</t>
  </si>
  <si>
    <t xml:space="preserve">1.60</t>
  </si>
  <si>
    <t xml:space="preserve">Juntas de expasion D=3"</t>
  </si>
  <si>
    <t xml:space="preserve">1.61</t>
  </si>
  <si>
    <t xml:space="preserve">Juntas de expasion D=4"</t>
  </si>
  <si>
    <t xml:space="preserve">Estación Elevadora</t>
  </si>
  <si>
    <t xml:space="preserve">1.62</t>
  </si>
  <si>
    <t xml:space="preserve">Tubería PVC Presión De ø4" RDE 21montante</t>
  </si>
  <si>
    <t xml:space="preserve">1.63</t>
  </si>
  <si>
    <t xml:space="preserve">Tubería PVC Presión De ø4" RDE 21 terreno</t>
  </si>
  <si>
    <t xml:space="preserve">1.64</t>
  </si>
  <si>
    <t xml:space="preserve">1.65</t>
  </si>
  <si>
    <t xml:space="preserve">Válvulas de Compuerta De ø4"</t>
  </si>
  <si>
    <t xml:space="preserve">1.66</t>
  </si>
  <si>
    <t xml:space="preserve">Unión universal pvc Ø4"</t>
  </si>
  <si>
    <t xml:space="preserve">1.67</t>
  </si>
  <si>
    <t xml:space="preserve">Cheque Compuerta De ø4"</t>
  </si>
  <si>
    <t xml:space="preserve">1.68</t>
  </si>
  <si>
    <t xml:space="preserve">1.69</t>
  </si>
  <si>
    <t xml:space="preserve">Equipo de Bombeo Sumergible</t>
  </si>
  <si>
    <t xml:space="preserve">1.70</t>
  </si>
  <si>
    <t xml:space="preserve">Conexión hidráulica Equipo eyector de aguas lluvias. Consistente en 2 bombas alternas-aditivas, cada una con las siguientes condiciones de operación: Q= 15,00 lps, H=8,00 mt., (NO SE INCLUYE SUMINISTRO DE EQUIPO DE BOMBEO)</t>
  </si>
  <si>
    <t xml:space="preserve">REDES AGUAS NEGRAS</t>
  </si>
  <si>
    <t xml:space="preserve">2.01</t>
  </si>
  <si>
    <t xml:space="preserve">Puntos Desagües ø2" de muro</t>
  </si>
  <si>
    <t xml:space="preserve">2.02</t>
  </si>
  <si>
    <t xml:space="preserve">Puntos Desagües ø2" sifon</t>
  </si>
  <si>
    <t xml:space="preserve">2.03</t>
  </si>
  <si>
    <t xml:space="preserve">Puntos Desagües ø4"</t>
  </si>
  <si>
    <t xml:space="preserve">2.04</t>
  </si>
  <si>
    <t xml:space="preserve">Puntos Ventilación ø2"</t>
  </si>
  <si>
    <t xml:space="preserve">2.05</t>
  </si>
  <si>
    <t xml:space="preserve">Puntos Interconexión Ban-Vent ø4"</t>
  </si>
  <si>
    <t xml:space="preserve">2.06</t>
  </si>
  <si>
    <t xml:space="preserve">Puntos reductores de velocidad en BAN</t>
  </si>
  <si>
    <t xml:space="preserve">2.07</t>
  </si>
  <si>
    <t xml:space="preserve">Puntos Remate de Ventilación ø3"</t>
  </si>
  <si>
    <t xml:space="preserve">2.08</t>
  </si>
  <si>
    <t xml:space="preserve">Puntos Remate de Ventilación ø4"</t>
  </si>
  <si>
    <t xml:space="preserve">2.09</t>
  </si>
  <si>
    <t xml:space="preserve">2.10</t>
  </si>
  <si>
    <t xml:space="preserve">2.11</t>
  </si>
  <si>
    <t xml:space="preserve">2.12</t>
  </si>
  <si>
    <t xml:space="preserve">2.13</t>
  </si>
  <si>
    <t xml:space="preserve">Tuberia De ø2" PVC-Ventilación</t>
  </si>
  <si>
    <t xml:space="preserve">2.14</t>
  </si>
  <si>
    <t xml:space="preserve">Tuberia De ø4" PVC-Ventilación</t>
  </si>
  <si>
    <t xml:space="preserve">2.15</t>
  </si>
  <si>
    <t xml:space="preserve">2.16</t>
  </si>
  <si>
    <t xml:space="preserve">2.17</t>
  </si>
  <si>
    <t xml:space="preserve">2.18</t>
  </si>
  <si>
    <t xml:space="preserve">Pasante en muro contencion 2"</t>
  </si>
  <si>
    <t xml:space="preserve">2.19</t>
  </si>
  <si>
    <t xml:space="preserve">2.20</t>
  </si>
  <si>
    <t xml:space="preserve">Tuberia De ø6" PVC-Pared Estructurada</t>
  </si>
  <si>
    <t xml:space="preserve">2.21</t>
  </si>
  <si>
    <t xml:space="preserve">Tuberia De ø8" PVC-Pared Estructurada</t>
  </si>
  <si>
    <t xml:space="preserve">Tuberia Bajantes y Ventilación</t>
  </si>
  <si>
    <t xml:space="preserve">2.22</t>
  </si>
  <si>
    <t xml:space="preserve">2.23</t>
  </si>
  <si>
    <t xml:space="preserve">2.24</t>
  </si>
  <si>
    <t xml:space="preserve">Junta de expansión 4" PVC-S</t>
  </si>
  <si>
    <t xml:space="preserve">2.25</t>
  </si>
  <si>
    <t xml:space="preserve">Cajas de Inspección (medidas internas)</t>
  </si>
  <si>
    <t xml:space="preserve">2.26</t>
  </si>
  <si>
    <t xml:space="preserve">Registro sanitario 1.00 x 1.00m</t>
  </si>
  <si>
    <t xml:space="preserve">2.27</t>
  </si>
  <si>
    <t xml:space="preserve">2.28</t>
  </si>
  <si>
    <t xml:space="preserve">Acometida alcantarillado</t>
  </si>
  <si>
    <t xml:space="preserve">2.29</t>
  </si>
  <si>
    <t xml:space="preserve">Manhole Dia 1,50 prof 2,50 mts</t>
  </si>
  <si>
    <t xml:space="preserve">2.30</t>
  </si>
  <si>
    <t xml:space="preserve">2.31</t>
  </si>
  <si>
    <t xml:space="preserve">2.32</t>
  </si>
  <si>
    <t xml:space="preserve">Tapón de inspección D=4x4"</t>
  </si>
  <si>
    <t xml:space="preserve">2.33</t>
  </si>
  <si>
    <t xml:space="preserve">Tapón de inspección D=2"</t>
  </si>
  <si>
    <t xml:space="preserve">2.34</t>
  </si>
  <si>
    <t xml:space="preserve">Adaptador de limpieza D=2"</t>
  </si>
  <si>
    <t xml:space="preserve">2.35</t>
  </si>
  <si>
    <t xml:space="preserve">2.36</t>
  </si>
  <si>
    <t xml:space="preserve">Buje sanitario D=1-1/2x3/4"</t>
  </si>
  <si>
    <t xml:space="preserve">2.37</t>
  </si>
  <si>
    <t xml:space="preserve">Buje sanitario D=1-1/2x1"</t>
  </si>
  <si>
    <t xml:space="preserve">2.38</t>
  </si>
  <si>
    <t xml:space="preserve">Buje sanitario D=1-1/2x1-1/2"</t>
  </si>
  <si>
    <t xml:space="preserve">2.39</t>
  </si>
  <si>
    <t xml:space="preserve">Buje sanitario D=2x1-1/2"</t>
  </si>
  <si>
    <t xml:space="preserve">2.40</t>
  </si>
  <si>
    <t xml:space="preserve">Buje sanitario D=2x1-5/8"</t>
  </si>
  <si>
    <t xml:space="preserve">2.41</t>
  </si>
  <si>
    <t xml:space="preserve">2.42</t>
  </si>
  <si>
    <t xml:space="preserve">Buje sanitario D=3-1/2x2"</t>
  </si>
  <si>
    <t xml:space="preserve">2.43</t>
  </si>
  <si>
    <t xml:space="preserve">2.44</t>
  </si>
  <si>
    <t xml:space="preserve">2.45</t>
  </si>
  <si>
    <t xml:space="preserve">Codo sanitario 45° D=2" (CxE)</t>
  </si>
  <si>
    <t xml:space="preserve">2.46</t>
  </si>
  <si>
    <t xml:space="preserve">Codo sanitario 90° D=2" (CxE)</t>
  </si>
  <si>
    <t xml:space="preserve">2.47</t>
  </si>
  <si>
    <t xml:space="preserve">Codo sanitario 45° D=4" (CxE)</t>
  </si>
  <si>
    <t xml:space="preserve">2.48</t>
  </si>
  <si>
    <t xml:space="preserve">Codo sanitario 45° D=2x2" (CxC)</t>
  </si>
  <si>
    <t xml:space="preserve">2.49</t>
  </si>
  <si>
    <t xml:space="preserve">Codo sanitario 90° D=2x2" (CxC)</t>
  </si>
  <si>
    <t xml:space="preserve">2.50</t>
  </si>
  <si>
    <t xml:space="preserve">Codo sanitario 45° D=4x4" (CxC)</t>
  </si>
  <si>
    <t xml:space="preserve">2.51</t>
  </si>
  <si>
    <t xml:space="preserve">Codo sanitario 90° D=4x4" (CxC)</t>
  </si>
  <si>
    <t xml:space="preserve">2.52</t>
  </si>
  <si>
    <t xml:space="preserve">2.53</t>
  </si>
  <si>
    <t xml:space="preserve">Tee presión SCH 40 D=4x4x2"</t>
  </si>
  <si>
    <t xml:space="preserve">2.54</t>
  </si>
  <si>
    <t xml:space="preserve">Tee sanitaria D=2x2x2"</t>
  </si>
  <si>
    <t xml:space="preserve">2.55</t>
  </si>
  <si>
    <t xml:space="preserve">Tee sanitaria reducida D=4x4x2"</t>
  </si>
  <si>
    <t xml:space="preserve">2.56</t>
  </si>
  <si>
    <t xml:space="preserve">2.57</t>
  </si>
  <si>
    <t xml:space="preserve">2.58</t>
  </si>
  <si>
    <t xml:space="preserve">Unión sanitaria D=6x6"</t>
  </si>
  <si>
    <t xml:space="preserve">2.59</t>
  </si>
  <si>
    <t xml:space="preserve">Unión sanitaria D=8x8"</t>
  </si>
  <si>
    <t xml:space="preserve">2.60</t>
  </si>
  <si>
    <t xml:space="preserve">2.61</t>
  </si>
  <si>
    <t xml:space="preserve">2.62</t>
  </si>
  <si>
    <t xml:space="preserve">2.63</t>
  </si>
  <si>
    <t xml:space="preserve">2.64</t>
  </si>
  <si>
    <t xml:space="preserve">2.65</t>
  </si>
  <si>
    <t xml:space="preserve">Yee doble sanitaria D=2x2x2x2"</t>
  </si>
  <si>
    <t xml:space="preserve">2.66</t>
  </si>
  <si>
    <t xml:space="preserve">Yee doble sanitaria D=4x4x2x2"</t>
  </si>
  <si>
    <t xml:space="preserve">2.67</t>
  </si>
  <si>
    <t xml:space="preserve">Yee doble sanitaria D=4x4x4x4"</t>
  </si>
  <si>
    <t xml:space="preserve">REDES DESAGUES AIRES ACONDICIONADOS</t>
  </si>
  <si>
    <t xml:space="preserve">3.01</t>
  </si>
  <si>
    <t xml:space="preserve">Puntos Drenaje Minisplit/Caset ø3/4", con rubatex</t>
  </si>
  <si>
    <t xml:space="preserve">3.02</t>
  </si>
  <si>
    <t xml:space="preserve">3.03</t>
  </si>
  <si>
    <t xml:space="preserve">Tuberia De ø3/4" PVC-Presión - A.A. con rubatex</t>
  </si>
  <si>
    <t xml:space="preserve">3.04</t>
  </si>
  <si>
    <t xml:space="preserve">Tuberia De ø1" PVC-Presión - A.A. con rubatex</t>
  </si>
  <si>
    <t xml:space="preserve">3.05</t>
  </si>
  <si>
    <t xml:space="preserve">Tuberia Bajantes</t>
  </si>
  <si>
    <t xml:space="preserve">3.06</t>
  </si>
  <si>
    <t xml:space="preserve">Tuberia De ø2" PVC-Sanitaria- A.A. con rubatex</t>
  </si>
  <si>
    <t xml:space="preserve">3.07</t>
  </si>
  <si>
    <t xml:space="preserve">3.08</t>
  </si>
  <si>
    <t xml:space="preserve">3.09</t>
  </si>
  <si>
    <t xml:space="preserve">3.10</t>
  </si>
  <si>
    <t xml:space="preserve">3.11</t>
  </si>
  <si>
    <t xml:space="preserve">Buje presión SCH 40 D=1x3/4"</t>
  </si>
  <si>
    <t xml:space="preserve">3.12</t>
  </si>
  <si>
    <t xml:space="preserve">Tapon presion D=3/4"</t>
  </si>
  <si>
    <t xml:space="preserve">3.13</t>
  </si>
  <si>
    <t xml:space="preserve">Buje presión SCH 40 D=2x1"</t>
  </si>
  <si>
    <t xml:space="preserve">3.14</t>
  </si>
  <si>
    <t xml:space="preserve">Buje presión SCH 40 D=4x2"</t>
  </si>
  <si>
    <t xml:space="preserve">3.15</t>
  </si>
  <si>
    <t xml:space="preserve">Codo presión SCH 40 45° D=3/4"x3/4"</t>
  </si>
  <si>
    <t xml:space="preserve">3.16</t>
  </si>
  <si>
    <t xml:space="preserve">Codo presión SCH 40 45° D=2x2"</t>
  </si>
  <si>
    <t xml:space="preserve">3.17</t>
  </si>
  <si>
    <t xml:space="preserve">Codo presión SCH 40 90° D=1x1"</t>
  </si>
  <si>
    <t xml:space="preserve">3.18</t>
  </si>
  <si>
    <t xml:space="preserve">Codo presión SCH 40 90° D=2x2"</t>
  </si>
  <si>
    <t xml:space="preserve">3.19</t>
  </si>
  <si>
    <t xml:space="preserve">Codo presión SCH 40 90° D=3/4x3/4"</t>
  </si>
  <si>
    <t xml:space="preserve">3.20</t>
  </si>
  <si>
    <t xml:space="preserve">Tee presión SCH 40 D=1x1x1"</t>
  </si>
  <si>
    <t xml:space="preserve">3.21</t>
  </si>
  <si>
    <t xml:space="preserve">Tee presión SCH 40 D=2x2x1"</t>
  </si>
  <si>
    <t xml:space="preserve">3.22</t>
  </si>
  <si>
    <t xml:space="preserve">Tee presión SCH 40 D=1x1x3/4"</t>
  </si>
  <si>
    <t xml:space="preserve">3.23</t>
  </si>
  <si>
    <t xml:space="preserve">Tee presión SCH 40 D=1x3/4x3/4"</t>
  </si>
  <si>
    <t xml:space="preserve">3.24</t>
  </si>
  <si>
    <t xml:space="preserve">Unión presión D=3/4x3/4"</t>
  </si>
  <si>
    <t xml:space="preserve">3.25</t>
  </si>
  <si>
    <t xml:space="preserve">Unión presión D=2x2"</t>
  </si>
  <si>
    <t xml:space="preserve">3.26</t>
  </si>
  <si>
    <t xml:space="preserve">REDES SUMINISTRO DE AGUA</t>
  </si>
  <si>
    <t xml:space="preserve">Puntos</t>
  </si>
  <si>
    <t xml:space="preserve">4.01</t>
  </si>
  <si>
    <t xml:space="preserve">Puntos Hidráulicos ø1"</t>
  </si>
  <si>
    <t xml:space="preserve">4.02</t>
  </si>
  <si>
    <t xml:space="preserve">Puntos Hidráulicos ø1/2"</t>
  </si>
  <si>
    <t xml:space="preserve">4.03</t>
  </si>
  <si>
    <t xml:space="preserve">Puntos Hidráulicos ø3/4"</t>
  </si>
  <si>
    <t xml:space="preserve">4.04</t>
  </si>
  <si>
    <t xml:space="preserve">Puntos Medidor ø1/2"</t>
  </si>
  <si>
    <t xml:space="preserve">Redes Alimentación </t>
  </si>
  <si>
    <t xml:space="preserve">Tubería PVC Presión RDE 9 - 21, Descolgada</t>
  </si>
  <si>
    <t xml:space="preserve">4.05</t>
  </si>
  <si>
    <t xml:space="preserve">Tuberia De ø1/2" Rde 9</t>
  </si>
  <si>
    <t xml:space="preserve">4.06</t>
  </si>
  <si>
    <t xml:space="preserve">Tuberia De ø3/4" Rde 11</t>
  </si>
  <si>
    <t xml:space="preserve">4.07</t>
  </si>
  <si>
    <t xml:space="preserve">Tuberia De ø1" Rde 13,5</t>
  </si>
  <si>
    <t xml:space="preserve">4.08</t>
  </si>
  <si>
    <t xml:space="preserve">Tuberia De ø1½" Rde 21</t>
  </si>
  <si>
    <t xml:space="preserve">Soporte pera 1/2"</t>
  </si>
  <si>
    <t xml:space="preserve">Soporte pera 3/4"</t>
  </si>
  <si>
    <t xml:space="preserve">Soporte pera 1"</t>
  </si>
  <si>
    <t xml:space="preserve">Soporte pera 1-1/2"</t>
  </si>
  <si>
    <t xml:space="preserve">Redes Distribución  - Columnas gravedad-asistida y tanques</t>
  </si>
  <si>
    <t xml:space="preserve">Tubería PVC Presión RDE 9 - 21</t>
  </si>
  <si>
    <t xml:space="preserve">4.09</t>
  </si>
  <si>
    <t xml:space="preserve">Tuberia PVC Presión RDE 9 - 21 De ø1"</t>
  </si>
  <si>
    <t xml:space="preserve">4.10</t>
  </si>
  <si>
    <t xml:space="preserve">Tuberia PVC Presión RDE 9 - 21 De ø1-1/2"</t>
  </si>
  <si>
    <t xml:space="preserve">4.11</t>
  </si>
  <si>
    <t xml:space="preserve">Tuberia PVC Presión RDE 9 - 21 De ø2"</t>
  </si>
  <si>
    <t xml:space="preserve">4.12</t>
  </si>
  <si>
    <t xml:space="preserve">Tuberia PVC Presión RDE 9 - 21 De ø2-1/2"</t>
  </si>
  <si>
    <t xml:space="preserve">4.13</t>
  </si>
  <si>
    <t xml:space="preserve">Tuberia PVC Presión RDE 9 - 21 De ø3"</t>
  </si>
  <si>
    <t xml:space="preserve">4.14</t>
  </si>
  <si>
    <t xml:space="preserve">Tuberia PVC Presión RDE 9 - 21De ø4"</t>
  </si>
  <si>
    <t xml:space="preserve">Soporte riel chanel 1"</t>
  </si>
  <si>
    <t xml:space="preserve">Soporte riel chanel 1-1/2"</t>
  </si>
  <si>
    <t xml:space="preserve">Soporte riel chanel 2-1/2"</t>
  </si>
  <si>
    <t xml:space="preserve">Tubería Impulsión y succion equipo cubierta</t>
  </si>
  <si>
    <t xml:space="preserve">4.15</t>
  </si>
  <si>
    <t xml:space="preserve">Tuberia presion sch80 De ø2" Columna </t>
  </si>
  <si>
    <t xml:space="preserve">4.16</t>
  </si>
  <si>
    <t xml:space="preserve">Tuberia A. inox 304  4" (Succiones)</t>
  </si>
  <si>
    <t xml:space="preserve">4.17</t>
  </si>
  <si>
    <t xml:space="preserve">soporte riel chanel 2"</t>
  </si>
  <si>
    <t xml:space="preserve">4.18</t>
  </si>
  <si>
    <t xml:space="preserve">soporte riel chanel 4"</t>
  </si>
  <si>
    <t xml:space="preserve">Acometida a Tanque Bajo</t>
  </si>
  <si>
    <t xml:space="preserve">4.20</t>
  </si>
  <si>
    <t xml:space="preserve">Tuberia PVC Presión RDE 9 - 21 De ø2" Colgada</t>
  </si>
  <si>
    <t xml:space="preserve">4.21</t>
  </si>
  <si>
    <t xml:space="preserve">Tuberia PVC Presión RDE 9 - 21 De ø2" Enterrada</t>
  </si>
  <si>
    <t xml:space="preserve">4.22</t>
  </si>
  <si>
    <t xml:space="preserve">4.25</t>
  </si>
  <si>
    <t xml:space="preserve">Pasamuro de ø3"× 0.6 m, pvc</t>
  </si>
  <si>
    <t xml:space="preserve">4.26</t>
  </si>
  <si>
    <t xml:space="preserve">Pasamuro de ø2"× 0.6 m, pvc</t>
  </si>
  <si>
    <t xml:space="preserve">4.27</t>
  </si>
  <si>
    <t xml:space="preserve">Pasamuro de ø3"× 0.6 m, A. Inox. Bridax brida</t>
  </si>
  <si>
    <t xml:space="preserve">4.28</t>
  </si>
  <si>
    <t xml:space="preserve">Pasamuro de ø4"× 0.6 m, A. Inox. Bridax brida con lamina corta agua</t>
  </si>
  <si>
    <t xml:space="preserve">4.29</t>
  </si>
  <si>
    <t xml:space="preserve">Bastones ventilacion tanques 3"</t>
  </si>
  <si>
    <t xml:space="preserve">4.30</t>
  </si>
  <si>
    <t xml:space="preserve">Tee acero inoxidable D=4"</t>
  </si>
  <si>
    <t xml:space="preserve">4.31</t>
  </si>
  <si>
    <t xml:space="preserve">Codo acero inoxidable 90° D=4"</t>
  </si>
  <si>
    <t xml:space="preserve">4.32</t>
  </si>
  <si>
    <t xml:space="preserve">Unión acero inoxidable D=4"</t>
  </si>
  <si>
    <t xml:space="preserve">Brida acero inoxidable 4"</t>
  </si>
  <si>
    <t xml:space="preserve">codo difusor de succion de PVC 4"</t>
  </si>
  <si>
    <t xml:space="preserve">Brida PVC 2"</t>
  </si>
  <si>
    <t xml:space="preserve">Brida PVC 4"</t>
  </si>
  <si>
    <t xml:space="preserve">4.33</t>
  </si>
  <si>
    <t xml:space="preserve">Tapon PVC D=1"</t>
  </si>
  <si>
    <t xml:space="preserve">4.34</t>
  </si>
  <si>
    <t xml:space="preserve">Tapon PVC D=1/2"</t>
  </si>
  <si>
    <t xml:space="preserve">4.35</t>
  </si>
  <si>
    <t xml:space="preserve">Tapon PVC D=3/4"</t>
  </si>
  <si>
    <t xml:space="preserve">4.36</t>
  </si>
  <si>
    <t xml:space="preserve">Brida PVC 3"</t>
  </si>
  <si>
    <t xml:space="preserve">4.37</t>
  </si>
  <si>
    <t xml:space="preserve">Buje D=2-1/2x1-1/2" Sold PVC Gris SCH80</t>
  </si>
  <si>
    <t xml:space="preserve">4.38</t>
  </si>
  <si>
    <t xml:space="preserve">Buje D=2-1/2x1-1/4" Sold PVC Gris SCH80</t>
  </si>
  <si>
    <t xml:space="preserve">4.39</t>
  </si>
  <si>
    <t xml:space="preserve">Buje D=2x1" Sold PVC Gris SCH80</t>
  </si>
  <si>
    <t xml:space="preserve">4.40</t>
  </si>
  <si>
    <t xml:space="preserve">Buje D=3x2-1/2" Sold PVC Gris SCH80</t>
  </si>
  <si>
    <t xml:space="preserve">4.41</t>
  </si>
  <si>
    <t xml:space="preserve">Buje D=4x2" Sold PVC Gris SCH80</t>
  </si>
  <si>
    <t xml:space="preserve">4.42</t>
  </si>
  <si>
    <t xml:space="preserve">Buje D=4x3" Sold PVC Gris SCH80</t>
  </si>
  <si>
    <t xml:space="preserve">4.43</t>
  </si>
  <si>
    <t xml:space="preserve">Buje Pre D=1-1/2x1" Sold</t>
  </si>
  <si>
    <t xml:space="preserve">4.44</t>
  </si>
  <si>
    <t xml:space="preserve">Buje Pre D=1-1/2x1/2" Sold</t>
  </si>
  <si>
    <t xml:space="preserve">4.45</t>
  </si>
  <si>
    <t xml:space="preserve">Buje Pre D=1-1/2x3/4" Sold</t>
  </si>
  <si>
    <t xml:space="preserve">4.46</t>
  </si>
  <si>
    <t xml:space="preserve">Buje Pre D=1x1/2" Sold</t>
  </si>
  <si>
    <t xml:space="preserve">4.47</t>
  </si>
  <si>
    <t xml:space="preserve">Buje Pre D=1x3/4" Sold</t>
  </si>
  <si>
    <t xml:space="preserve">4.48</t>
  </si>
  <si>
    <t xml:space="preserve">Buje Pre D=2-1/2x1-1/2" Sold</t>
  </si>
  <si>
    <t xml:space="preserve">4.49</t>
  </si>
  <si>
    <t xml:space="preserve">Buje Pre D=2-1/2x2" Sold</t>
  </si>
  <si>
    <t xml:space="preserve">4.50</t>
  </si>
  <si>
    <t xml:space="preserve">Buje Pre D=2x1" Sold</t>
  </si>
  <si>
    <t xml:space="preserve">4.51</t>
  </si>
  <si>
    <t xml:space="preserve">Buje Pre D=2x1-1/2" Sold</t>
  </si>
  <si>
    <t xml:space="preserve">4.52</t>
  </si>
  <si>
    <t xml:space="preserve">Buje Pre D=3/4x1/2" Sold</t>
  </si>
  <si>
    <t xml:space="preserve">4.53</t>
  </si>
  <si>
    <t xml:space="preserve">Buje Pre D=3x2" Sold</t>
  </si>
  <si>
    <t xml:space="preserve">4.54</t>
  </si>
  <si>
    <t xml:space="preserve">Buje Pre D=3x2-1/2" Sold</t>
  </si>
  <si>
    <t xml:space="preserve">4.55</t>
  </si>
  <si>
    <t xml:space="preserve">Buje Sold 1-1/2x1" PVC</t>
  </si>
  <si>
    <t xml:space="preserve">4.56</t>
  </si>
  <si>
    <t xml:space="preserve">Buje Sold 1x1/2" PVC</t>
  </si>
  <si>
    <t xml:space="preserve">4.57</t>
  </si>
  <si>
    <t xml:space="preserve">Tee de hierro Clase 150, D=2" x 2" x 1"</t>
  </si>
  <si>
    <t xml:space="preserve">4.58</t>
  </si>
  <si>
    <t xml:space="preserve">Codo 45° D=2" PVC Gris SCH80</t>
  </si>
  <si>
    <t xml:space="preserve">4.59</t>
  </si>
  <si>
    <t xml:space="preserve">Codo 90° D=1-1/2" PVC Gris SCH80</t>
  </si>
  <si>
    <t xml:space="preserve">4.60</t>
  </si>
  <si>
    <t xml:space="preserve">Codo 90° D=1-1/4" PVC Gris SCH80</t>
  </si>
  <si>
    <t xml:space="preserve">4.61</t>
  </si>
  <si>
    <t xml:space="preserve">Codo 90° D=2" PVC Gris SCH80</t>
  </si>
  <si>
    <t xml:space="preserve">4.62</t>
  </si>
  <si>
    <t xml:space="preserve">Codo 90° D=2-1/2" PVC Gris SCH80</t>
  </si>
  <si>
    <t xml:space="preserve">4.63</t>
  </si>
  <si>
    <t xml:space="preserve">Codo 90° D=4" PVC SCH80</t>
  </si>
  <si>
    <t xml:space="preserve">4.64</t>
  </si>
  <si>
    <t xml:space="preserve">Codo Pre 45° D=1-1/2" SCH40</t>
  </si>
  <si>
    <t xml:space="preserve">4.65</t>
  </si>
  <si>
    <t xml:space="preserve">Codo Pre 45° D=2" SCH40</t>
  </si>
  <si>
    <t xml:space="preserve">4.66</t>
  </si>
  <si>
    <t xml:space="preserve">Codo Pre 90° D=1" SCH40</t>
  </si>
  <si>
    <t xml:space="preserve">4.67</t>
  </si>
  <si>
    <t xml:space="preserve">Codo Pre 90° D=1-1/2" SCH40</t>
  </si>
  <si>
    <t xml:space="preserve">4.68</t>
  </si>
  <si>
    <t xml:space="preserve">Codo Pre 90° D=1/2" SCH40</t>
  </si>
  <si>
    <t xml:space="preserve">4.69</t>
  </si>
  <si>
    <t xml:space="preserve">Codo Pre 90° D=2" SCH40</t>
  </si>
  <si>
    <t xml:space="preserve">4.70</t>
  </si>
  <si>
    <t xml:space="preserve">Codo Pre 90° D=2-1/2" SCH40</t>
  </si>
  <si>
    <t xml:space="preserve">4.71</t>
  </si>
  <si>
    <t xml:space="preserve">Codo Pre 90° D=3" SCH40</t>
  </si>
  <si>
    <t xml:space="preserve">4.72</t>
  </si>
  <si>
    <t xml:space="preserve">Codo Pre 90° D=3/4" SCH40</t>
  </si>
  <si>
    <t xml:space="preserve">4.73</t>
  </si>
  <si>
    <t xml:space="preserve">Pase en muro D=2"</t>
  </si>
  <si>
    <t xml:space="preserve">4.74</t>
  </si>
  <si>
    <t xml:space="preserve">Pase en muro D=6"</t>
  </si>
  <si>
    <t xml:space="preserve">4.75</t>
  </si>
  <si>
    <t xml:space="preserve">Buje D=2-1/2"x1-1/2" PVC SCH-40</t>
  </si>
  <si>
    <t xml:space="preserve">4.76</t>
  </si>
  <si>
    <t xml:space="preserve">Buje D=2"x2" PVC SCH-40</t>
  </si>
  <si>
    <t xml:space="preserve">4.77</t>
  </si>
  <si>
    <t xml:space="preserve">Buje D=3"x2" PVC SCH-40</t>
  </si>
  <si>
    <t xml:space="preserve">4.78</t>
  </si>
  <si>
    <t xml:space="preserve">Buje D=3"x3" PVC SCH-40</t>
  </si>
  <si>
    <t xml:space="preserve">4.79</t>
  </si>
  <si>
    <t xml:space="preserve">Buje D=4"x2" PVC SCH-40</t>
  </si>
  <si>
    <t xml:space="preserve">4.80</t>
  </si>
  <si>
    <t xml:space="preserve">Buje D=4"x3" PVCP SCH-40</t>
  </si>
  <si>
    <t xml:space="preserve">4.81</t>
  </si>
  <si>
    <t xml:space="preserve">Reducción excéntrica en acero inoxidable D=3"x1-1/2"</t>
  </si>
  <si>
    <t xml:space="preserve">4.82</t>
  </si>
  <si>
    <t xml:space="preserve">Reducción excéntrica en acero inoxidable D=4"x1-1/2"</t>
  </si>
  <si>
    <t xml:space="preserve">4.83</t>
  </si>
  <si>
    <t xml:space="preserve">Reducción excéntrica en CPVC SCH-80 – 3"ø-2"ø</t>
  </si>
  <si>
    <t xml:space="preserve">4.84</t>
  </si>
  <si>
    <t xml:space="preserve">Reducción excéntrica en CPVC SCH-80 – 3/4"ø-1/2"ø</t>
  </si>
  <si>
    <t xml:space="preserve">4.85</t>
  </si>
  <si>
    <t xml:space="preserve">Tapón 4 Sold CPVC SCH80</t>
  </si>
  <si>
    <t xml:space="preserve">4.86</t>
  </si>
  <si>
    <t xml:space="preserve">Tapón Pre D=2" SCH40 Sold</t>
  </si>
  <si>
    <t xml:space="preserve">4.87</t>
  </si>
  <si>
    <t xml:space="preserve">Tee D=1-1/4 PVC SCH80</t>
  </si>
  <si>
    <t xml:space="preserve">4.88</t>
  </si>
  <si>
    <t xml:space="preserve">Tee D=2" PVC Gris SCH80</t>
  </si>
  <si>
    <t xml:space="preserve">4.89</t>
  </si>
  <si>
    <t xml:space="preserve">Tee D=2-1/2" PVC Gris SCH80</t>
  </si>
  <si>
    <t xml:space="preserve">4.90</t>
  </si>
  <si>
    <t xml:space="preserve">Tee D=4" PVC SCH80</t>
  </si>
  <si>
    <t xml:space="preserve">4.91</t>
  </si>
  <si>
    <t xml:space="preserve">Tee Pre D=1-1/2" SCH40</t>
  </si>
  <si>
    <t xml:space="preserve">4.92</t>
  </si>
  <si>
    <t xml:space="preserve">Tee Pre D=1/2" SCH40</t>
  </si>
  <si>
    <t xml:space="preserve">4.93</t>
  </si>
  <si>
    <t xml:space="preserve">Tee Pre D=2" SCH40</t>
  </si>
  <si>
    <t xml:space="preserve">4.94</t>
  </si>
  <si>
    <t xml:space="preserve">Tee Pre D=2-1/2" SCH40</t>
  </si>
  <si>
    <t xml:space="preserve">4.95</t>
  </si>
  <si>
    <t xml:space="preserve">Tee Pre D=3" SCH40</t>
  </si>
  <si>
    <t xml:space="preserve">4.96</t>
  </si>
  <si>
    <t xml:space="preserve">Tee Pre D=3/4x1/2 SCH40</t>
  </si>
  <si>
    <t xml:space="preserve">4.97</t>
  </si>
  <si>
    <t xml:space="preserve">Unión D=1-1/2 PVC Gris SCH80</t>
  </si>
  <si>
    <t xml:space="preserve">4.98</t>
  </si>
  <si>
    <t xml:space="preserve">Unión D=4" PVC SCH80</t>
  </si>
  <si>
    <t xml:space="preserve">4.99</t>
  </si>
  <si>
    <t xml:space="preserve">Unión Pre D=1" SCH40</t>
  </si>
  <si>
    <t xml:space="preserve">4.100</t>
  </si>
  <si>
    <t xml:space="preserve">Unión Pre D=1-1/2" SCH40</t>
  </si>
  <si>
    <t xml:space="preserve">4.101</t>
  </si>
  <si>
    <t xml:space="preserve">Unión Pre D=1/2" SCH40</t>
  </si>
  <si>
    <t xml:space="preserve">4.102</t>
  </si>
  <si>
    <t xml:space="preserve">Unión Pre D=3/4" SCH40</t>
  </si>
  <si>
    <t xml:space="preserve">4.103</t>
  </si>
  <si>
    <t xml:space="preserve">Unión Pre D=2" SCH40</t>
  </si>
  <si>
    <t xml:space="preserve">4.104</t>
  </si>
  <si>
    <t xml:space="preserve">Unión Pre D=2-1/2" SCH40</t>
  </si>
  <si>
    <t xml:space="preserve">4.105</t>
  </si>
  <si>
    <t xml:space="preserve">Unión Pre D=3" SCH40</t>
  </si>
  <si>
    <t xml:space="preserve">4.106</t>
  </si>
  <si>
    <t xml:space="preserve">Unión Pre D=4" SCH41</t>
  </si>
  <si>
    <t xml:space="preserve">4.107</t>
  </si>
  <si>
    <t xml:space="preserve">Unión universal D=1-1/4 PVC Gris SCH80</t>
  </si>
  <si>
    <t xml:space="preserve">Valvulas y Accesorios</t>
  </si>
  <si>
    <t xml:space="preserve">4.108</t>
  </si>
  <si>
    <t xml:space="preserve">Válvulas de Corte  D=1/2"</t>
  </si>
  <si>
    <t xml:space="preserve">Válvulas de Corte  D=3/4"</t>
  </si>
  <si>
    <t xml:space="preserve">4.109</t>
  </si>
  <si>
    <t xml:space="preserve">Válvulas de Compuerta De ø3/4"</t>
  </si>
  <si>
    <t xml:space="preserve">4.110</t>
  </si>
  <si>
    <t xml:space="preserve">Válvulas de Compuerta De ø1"</t>
  </si>
  <si>
    <t xml:space="preserve">4.111</t>
  </si>
  <si>
    <t xml:space="preserve">Válvulas de Compuerta De ø1-1/4"</t>
  </si>
  <si>
    <t xml:space="preserve">4.112</t>
  </si>
  <si>
    <t xml:space="preserve">Válvulas de Compuerta De ø1-1/2"</t>
  </si>
  <si>
    <t xml:space="preserve">4.113</t>
  </si>
  <si>
    <t xml:space="preserve">Valvula de Compuerta De ø2"</t>
  </si>
  <si>
    <t xml:space="preserve">4.114</t>
  </si>
  <si>
    <t xml:space="preserve">Valvula de Compuerta De ø3"</t>
  </si>
  <si>
    <t xml:space="preserve">4.115</t>
  </si>
  <si>
    <t xml:space="preserve">Valvula de Compuerta Mariposa D=4"</t>
  </si>
  <si>
    <t xml:space="preserve">4.116</t>
  </si>
  <si>
    <t xml:space="preserve">Valvula de Compuerta de vastago De ø4"</t>
  </si>
  <si>
    <t xml:space="preserve">4.117</t>
  </si>
  <si>
    <t xml:space="preserve">Valvula solenoide 2"</t>
  </si>
  <si>
    <t xml:space="preserve">4.118</t>
  </si>
  <si>
    <t xml:space="preserve">Válvula de Cheque Compuerta De ø1-1/2"</t>
  </si>
  <si>
    <t xml:space="preserve">4.119</t>
  </si>
  <si>
    <t xml:space="preserve">Valvula de cheque compuerta De 3"</t>
  </si>
  <si>
    <t xml:space="preserve">4.120</t>
  </si>
  <si>
    <t xml:space="preserve">Válvula de Cheque Compuerta De ø4"</t>
  </si>
  <si>
    <t xml:space="preserve">4.121</t>
  </si>
  <si>
    <t xml:space="preserve">Estación Reductora de Presión De ø3"</t>
  </si>
  <si>
    <t xml:space="preserve">4.122</t>
  </si>
  <si>
    <t xml:space="preserve">Valvula expulsadora de aire 1" (Columnas)</t>
  </si>
  <si>
    <t xml:space="preserve">4.123</t>
  </si>
  <si>
    <t xml:space="preserve">Valvula bola metal 1" (Columnas)</t>
  </si>
  <si>
    <t xml:space="preserve">4.124</t>
  </si>
  <si>
    <t xml:space="preserve">Cajilla 4 medidores 1/2"</t>
  </si>
  <si>
    <t xml:space="preserve">4.125</t>
  </si>
  <si>
    <t xml:space="preserve">Valvulas Flotador De ø2"</t>
  </si>
  <si>
    <t xml:space="preserve">4.126</t>
  </si>
  <si>
    <t xml:space="preserve">Valvula de pie 4" (succiones)</t>
  </si>
  <si>
    <t xml:space="preserve">4.127</t>
  </si>
  <si>
    <t xml:space="preserve">Manometro 0-200</t>
  </si>
  <si>
    <t xml:space="preserve">Equipo de Bombeo de Agua Potable Tanque-Tanque</t>
  </si>
  <si>
    <t xml:space="preserve">4.139</t>
  </si>
  <si>
    <t xml:space="preserve">Suministro y Conexión hidráulica Equipo de Bombeo Vel. variable y presión constante. Consistente en 2 bombas alternas, cada una con las siguientes condiciones de operación: Q= 5,60 lps, H=80,00 mt., incluye válvulas, cheques y demás accesorios para el correcto funcionamiento. (SE RECOMIENDA QUE LA INSTALACIÓN DEL EQUIPO DE BOMBEO, SEA REALIZADA POR EL MISMO PROVEEDOR DEL SUMINISTRO).</t>
  </si>
  <si>
    <t xml:space="preserve">Equipo de Bombeo de Agua Potable Cubierta</t>
  </si>
  <si>
    <t xml:space="preserve">4.140</t>
  </si>
  <si>
    <t xml:space="preserve">Suministro y Conexión hidráulica Equipo de Bombeo Vel. variable y presión constante. Consistente en 2 bombas alternas, cada una con las siguientes condiciones de operación: Q= 13,00 lps, H=35,00 mt., incluye válvulas, cheques y demás accesorios para el correcto funcionamiento.(SE RECOMIENDA QUE LA INSTALACIÓN DEL EQUIPO DE BOMBEO, SEA REALIZADA POR EL MISMO PROVEEDOR DEL SUMINISTRO).</t>
  </si>
  <si>
    <t xml:space="preserve">SUMINISTRO AGUA CALIENTE</t>
  </si>
  <si>
    <t xml:space="preserve">5.01</t>
  </si>
  <si>
    <t xml:space="preserve">Puntos Agua Caliente ø3/4" (CALENTADOR).</t>
  </si>
  <si>
    <t xml:space="preserve">5.02</t>
  </si>
  <si>
    <t xml:space="preserve">Puntos Agua Caliente ø1/2"</t>
  </si>
  <si>
    <t xml:space="preserve">5.03</t>
  </si>
  <si>
    <t xml:space="preserve">Tubería CPVC RDE-11 De ø1/2"</t>
  </si>
  <si>
    <t xml:space="preserve">5.04</t>
  </si>
  <si>
    <t xml:space="preserve">Tubería CPVC RDE-11 De ø3/4"</t>
  </si>
  <si>
    <t xml:space="preserve">5.05</t>
  </si>
  <si>
    <t xml:space="preserve">Tapon CPVC D=1/2"</t>
  </si>
  <si>
    <t xml:space="preserve">5.06</t>
  </si>
  <si>
    <t xml:space="preserve">Codo CPVC 90° D=1/2"</t>
  </si>
  <si>
    <t xml:space="preserve">5.07</t>
  </si>
  <si>
    <t xml:space="preserve">Codo CPVC 90° D=3/4"</t>
  </si>
  <si>
    <t xml:space="preserve">5.08</t>
  </si>
  <si>
    <t xml:space="preserve">Tee CPVC D=1/2"</t>
  </si>
  <si>
    <t xml:space="preserve">5.09</t>
  </si>
  <si>
    <t xml:space="preserve">Tee CPVC D=3/4"</t>
  </si>
  <si>
    <t xml:space="preserve">5.10</t>
  </si>
  <si>
    <t xml:space="preserve">Union CPVC D= 1/2"</t>
  </si>
  <si>
    <t xml:space="preserve">5.11</t>
  </si>
  <si>
    <t xml:space="preserve">Union CPVC D= 3/4"</t>
  </si>
  <si>
    <t xml:space="preserve">5.12</t>
  </si>
  <si>
    <t xml:space="preserve">Tee CPVC D=3/4"x1/2"</t>
  </si>
  <si>
    <t xml:space="preserve">Válvulas de Compuerta y Accesorios </t>
  </si>
  <si>
    <t xml:space="preserve">Soporte pera Ø1/2"</t>
  </si>
  <si>
    <t xml:space="preserve">Soporte pera Ø3/4"</t>
  </si>
  <si>
    <t xml:space="preserve">MONTAJE APARATOS (mano obra)</t>
  </si>
  <si>
    <t xml:space="preserve">6.01</t>
  </si>
  <si>
    <t xml:space="preserve">Sanitarios de Tanque</t>
  </si>
  <si>
    <t xml:space="preserve">6.02</t>
  </si>
  <si>
    <t xml:space="preserve">Lavamanos</t>
  </si>
  <si>
    <t xml:space="preserve">6.03</t>
  </si>
  <si>
    <t xml:space="preserve">Sanitarios de Fluxometro</t>
  </si>
  <si>
    <t xml:space="preserve">6.04</t>
  </si>
  <si>
    <t xml:space="preserve">Ducha</t>
  </si>
  <si>
    <t xml:space="preserve">6.05</t>
  </si>
  <si>
    <t xml:space="preserve">Orinal</t>
  </si>
  <si>
    <t xml:space="preserve">6.06</t>
  </si>
  <si>
    <t xml:space="preserve">Cajas lavadora</t>
  </si>
  <si>
    <t xml:space="preserve">6.07</t>
  </si>
  <si>
    <t xml:space="preserve">Lavaplatos</t>
  </si>
  <si>
    <t xml:space="preserve">6.08</t>
  </si>
  <si>
    <t xml:space="preserve">Lavadero</t>
  </si>
  <si>
    <t xml:space="preserve">6.09</t>
  </si>
  <si>
    <t xml:space="preserve">Llaves Lavadero</t>
  </si>
  <si>
    <t xml:space="preserve">6.10</t>
  </si>
  <si>
    <t xml:space="preserve">Llaves Lavadora</t>
  </si>
  <si>
    <t xml:space="preserve">6.11</t>
  </si>
  <si>
    <t xml:space="preserve">Llaves de Riego</t>
  </si>
  <si>
    <t xml:space="preserve">REDES CONTRAINCENDIOS </t>
  </si>
  <si>
    <t xml:space="preserve">Puntos </t>
  </si>
  <si>
    <t xml:space="preserve">7.01</t>
  </si>
  <si>
    <t xml:space="preserve">Puntos Conexión Valvula Angular 2-1/2</t>
  </si>
  <si>
    <t xml:space="preserve">7.02</t>
  </si>
  <si>
    <t xml:space="preserve">Puntos AC 1-1/2" Gabinetes Tipo 2</t>
  </si>
  <si>
    <t xml:space="preserve">7.03</t>
  </si>
  <si>
    <t xml:space="preserve">Puntos Sprinkler - AC 1"</t>
  </si>
  <si>
    <t xml:space="preserve">Gabinetes</t>
  </si>
  <si>
    <t xml:space="preserve">7.04</t>
  </si>
  <si>
    <t xml:space="preserve">Suministro y Conexión Gabinete tipo 2 en Lamina Cold Rolled Calibre 20 de 0.77×0.77×0.22, Válvula angular 1½" Regulada, Soporte tipo canasta, Manguera fibra poliester y caucho 1½"×100', Boquilla chorro y niebla  1½"-Hacha pico 4½" lbs, Llave Spaner-Extintor de polvo </t>
  </si>
  <si>
    <t xml:space="preserve">7.05</t>
  </si>
  <si>
    <t xml:space="preserve">Rociador Sprinkler ø1/2" K=5,6 estándar QR</t>
  </si>
  <si>
    <t xml:space="preserve">7.06</t>
  </si>
  <si>
    <t xml:space="preserve">Rociador Sprinkler ø1/2" K=11,2 extendida QR</t>
  </si>
  <si>
    <t xml:space="preserve">Tubería A.C. Sche 10 Descolgada</t>
  </si>
  <si>
    <t xml:space="preserve">7.07</t>
  </si>
  <si>
    <t xml:space="preserve">Tubería A.C. Sche 10 De ø1"</t>
  </si>
  <si>
    <t xml:space="preserve">7.103</t>
  </si>
  <si>
    <t xml:space="preserve">Tubería A.C. Sche 10 De ø1 1/4"</t>
  </si>
  <si>
    <t xml:space="preserve">Tubería A.C. Sche 10 De ø1 1/2"</t>
  </si>
  <si>
    <t xml:space="preserve">7.104</t>
  </si>
  <si>
    <t xml:space="preserve">Tubería A.C. Sche 10 De ø2"</t>
  </si>
  <si>
    <t xml:space="preserve">7.09</t>
  </si>
  <si>
    <t xml:space="preserve">Tubería A.C. Sche 10 De ø2 1/2"</t>
  </si>
  <si>
    <t xml:space="preserve">7.10</t>
  </si>
  <si>
    <t xml:space="preserve">Tubería A.C. Sche 10 De ø3"</t>
  </si>
  <si>
    <t xml:space="preserve">7.11</t>
  </si>
  <si>
    <t xml:space="preserve">Tubería A.C. Sche 10 De ø4"</t>
  </si>
  <si>
    <t xml:space="preserve">7.12</t>
  </si>
  <si>
    <t xml:space="preserve">Tubería A.C. Sche 10 De ø6"</t>
  </si>
  <si>
    <t xml:space="preserve">7.13</t>
  </si>
  <si>
    <t xml:space="preserve">7.14</t>
  </si>
  <si>
    <t xml:space="preserve">7.105</t>
  </si>
  <si>
    <t xml:space="preserve">7.15</t>
  </si>
  <si>
    <t xml:space="preserve">Soporte pera 2-1/2"</t>
  </si>
  <si>
    <t xml:space="preserve">7.16</t>
  </si>
  <si>
    <t xml:space="preserve">7.17</t>
  </si>
  <si>
    <t xml:space="preserve">7.18</t>
  </si>
  <si>
    <t xml:space="preserve">Soporte pera 6"</t>
  </si>
  <si>
    <t xml:space="preserve">7.19</t>
  </si>
  <si>
    <t xml:space="preserve">Pasante en muro contencion 6"</t>
  </si>
  <si>
    <t xml:space="preserve">Soporte Antisísmico Tub. Descolgada</t>
  </si>
  <si>
    <t xml:space="preserve">7.20</t>
  </si>
  <si>
    <t xml:space="preserve">Soporte Antisísmico Longitudinal ø2-1/2"</t>
  </si>
  <si>
    <t xml:space="preserve">7.21</t>
  </si>
  <si>
    <t xml:space="preserve">Soporte Antisísmico Transversal ø2-1/2"</t>
  </si>
  <si>
    <t xml:space="preserve">7.106</t>
  </si>
  <si>
    <t xml:space="preserve">Soporte Antisísmico Longitudinal ø3"</t>
  </si>
  <si>
    <t xml:space="preserve">7.107</t>
  </si>
  <si>
    <t xml:space="preserve">Soporte Antisísmico Transversal ø3"</t>
  </si>
  <si>
    <t xml:space="preserve">7.108</t>
  </si>
  <si>
    <t xml:space="preserve">Soporte Antisísmico Longitudinal ø4"</t>
  </si>
  <si>
    <t xml:space="preserve">7.109</t>
  </si>
  <si>
    <t xml:space="preserve">Soporte Antisísmico Transversal ø4"</t>
  </si>
  <si>
    <t xml:space="preserve">7.22</t>
  </si>
  <si>
    <t xml:space="preserve">Soporte Antisísmico Longitudinal ø6"</t>
  </si>
  <si>
    <t xml:space="preserve">7.23</t>
  </si>
  <si>
    <t xml:space="preserve">Soporte Antisísmico Transversal ø6"</t>
  </si>
  <si>
    <t xml:space="preserve">Tubería A.C. Sche 10 Columna </t>
  </si>
  <si>
    <t xml:space="preserve">7.24</t>
  </si>
  <si>
    <t xml:space="preserve">7.25</t>
  </si>
  <si>
    <t xml:space="preserve">Soporte riel chanel 6"</t>
  </si>
  <si>
    <t xml:space="preserve">7.26</t>
  </si>
  <si>
    <t xml:space="preserve">Pasantes en placa ø6" (sacanucleos)</t>
  </si>
  <si>
    <t xml:space="preserve">7.27</t>
  </si>
  <si>
    <t xml:space="preserve">Sello intumescente 2-1/2</t>
  </si>
  <si>
    <t xml:space="preserve">7.110</t>
  </si>
  <si>
    <t xml:space="preserve">Sello intumescente 1-1/2"</t>
  </si>
  <si>
    <t xml:space="preserve">7.111</t>
  </si>
  <si>
    <t xml:space="preserve">Sello intumescente 4"</t>
  </si>
  <si>
    <t xml:space="preserve">Cuarto de Bomba Sistema Contraincendios</t>
  </si>
  <si>
    <t xml:space="preserve">7.28</t>
  </si>
  <si>
    <t xml:space="preserve">Tubería A.C. Sche 10 De ø6" (Descolgada)</t>
  </si>
  <si>
    <t xml:space="preserve">Soporte Antisísmico Columna</t>
  </si>
  <si>
    <t xml:space="preserve">7.29</t>
  </si>
  <si>
    <t xml:space="preserve">Soporte Antisísmico Cuatro vías ø6"</t>
  </si>
  <si>
    <t xml:space="preserve">Desague Red Gabinetes y Rociadores</t>
  </si>
  <si>
    <t xml:space="preserve">7.30</t>
  </si>
  <si>
    <t xml:space="preserve">Tuberia Presion 1 1/2"</t>
  </si>
  <si>
    <t xml:space="preserve">7.31</t>
  </si>
  <si>
    <t xml:space="preserve">Tuberia presión 3"</t>
  </si>
  <si>
    <t xml:space="preserve">7.32</t>
  </si>
  <si>
    <t xml:space="preserve">7.33</t>
  </si>
  <si>
    <t xml:space="preserve">7.34</t>
  </si>
  <si>
    <t xml:space="preserve">Excavación en material común</t>
  </si>
  <si>
    <t xml:space="preserve">m3</t>
  </si>
  <si>
    <t xml:space="preserve">7.35</t>
  </si>
  <si>
    <t xml:space="preserve">Relleno Material Sitio</t>
  </si>
  <si>
    <t xml:space="preserve">Estaciones de Control</t>
  </si>
  <si>
    <t xml:space="preserve">7.36</t>
  </si>
  <si>
    <t xml:space="preserve">Suministro y Conexión válvula sensora de flujo y válvula de control abierto-cerrado ø2-1/2"</t>
  </si>
  <si>
    <t xml:space="preserve">7.37</t>
  </si>
  <si>
    <t xml:space="preserve">Acople ranurado D=1-1/4"</t>
  </si>
  <si>
    <t xml:space="preserve">7.38</t>
  </si>
  <si>
    <t xml:space="preserve">Acople ranurado D=1-1/2"</t>
  </si>
  <si>
    <t xml:space="preserve">7.39</t>
  </si>
  <si>
    <t xml:space="preserve">Acople ranurado D=2"</t>
  </si>
  <si>
    <t xml:space="preserve">7.40</t>
  </si>
  <si>
    <t xml:space="preserve">Acople ranurado D=2 1/2"</t>
  </si>
  <si>
    <t xml:space="preserve">7.41</t>
  </si>
  <si>
    <t xml:space="preserve">Acople ranurado D=3"</t>
  </si>
  <si>
    <t xml:space="preserve">7.42</t>
  </si>
  <si>
    <t xml:space="preserve">Acople ranurado D=4"</t>
  </si>
  <si>
    <t xml:space="preserve">7.43</t>
  </si>
  <si>
    <t xml:space="preserve">Acople ranurado D=6"</t>
  </si>
  <si>
    <t xml:space="preserve">7.44</t>
  </si>
  <si>
    <t xml:space="preserve">Acople rígido D=1-1/2"</t>
  </si>
  <si>
    <t xml:space="preserve">7.45</t>
  </si>
  <si>
    <t xml:space="preserve">Reductor Copa Ranurada D=2x6"</t>
  </si>
  <si>
    <t xml:space="preserve">7.46</t>
  </si>
  <si>
    <t xml:space="preserve">Salida ranurada Tubasys RAL3000 D=1-1/2"</t>
  </si>
  <si>
    <t xml:space="preserve">7.47</t>
  </si>
  <si>
    <t xml:space="preserve">Codo ranurado Tubasys RAL3000 D=1-1/2"</t>
  </si>
  <si>
    <t xml:space="preserve">7.48</t>
  </si>
  <si>
    <t xml:space="preserve">Tee mecánica SCH-40 D=1 1/2"</t>
  </si>
  <si>
    <t xml:space="preserve">7.49</t>
  </si>
  <si>
    <t xml:space="preserve">Tee mecánica SCH-10 D=2"</t>
  </si>
  <si>
    <t xml:space="preserve">7.50</t>
  </si>
  <si>
    <t xml:space="preserve">Tee mecánica SCH-10 D=3"</t>
  </si>
  <si>
    <t xml:space="preserve">7.51</t>
  </si>
  <si>
    <t xml:space="preserve">Tee mecánica D=6"</t>
  </si>
  <si>
    <t xml:space="preserve">7.52</t>
  </si>
  <si>
    <t xml:space="preserve">Tee mecanica D=2x6"</t>
  </si>
  <si>
    <t xml:space="preserve">7.53</t>
  </si>
  <si>
    <t xml:space="preserve">Tee mecanica D=2x2x1"</t>
  </si>
  <si>
    <t xml:space="preserve">7.54</t>
  </si>
  <si>
    <t xml:space="preserve">Tee mecanica D=6x6x2"</t>
  </si>
  <si>
    <t xml:space="preserve">7.112</t>
  </si>
  <si>
    <t xml:space="preserve">Tee mecánica D=2-1/2x1-1/2"</t>
  </si>
  <si>
    <t xml:space="preserve">7.113</t>
  </si>
  <si>
    <t xml:space="preserve">Tee mecánica D=6x2-1/2"</t>
  </si>
  <si>
    <t xml:space="preserve">7.55</t>
  </si>
  <si>
    <t xml:space="preserve">Codo A.C. SCH-10</t>
  </si>
  <si>
    <t xml:space="preserve">7.56</t>
  </si>
  <si>
    <t xml:space="preserve">Codo A.G. SCH-40</t>
  </si>
  <si>
    <t xml:space="preserve">7.57</t>
  </si>
  <si>
    <t xml:space="preserve">Tee A.C. SCH-10 D=6"</t>
  </si>
  <si>
    <t xml:space="preserve">7.58</t>
  </si>
  <si>
    <t xml:space="preserve">Tee A.G. SCH-40</t>
  </si>
  <si>
    <t xml:space="preserve">7.117</t>
  </si>
  <si>
    <t xml:space="preserve">Tee A.G. SCH-40 D=3"</t>
  </si>
  <si>
    <t xml:space="preserve">7.59</t>
  </si>
  <si>
    <t xml:space="preserve">Unión A.C. SCH-10 D=2-1/2"</t>
  </si>
  <si>
    <t xml:space="preserve">7.60</t>
  </si>
  <si>
    <t xml:space="preserve">Unión A.C. SCH-10 D=6"</t>
  </si>
  <si>
    <t xml:space="preserve">7.61</t>
  </si>
  <si>
    <t xml:space="preserve">Unión A.G. SCH-40</t>
  </si>
  <si>
    <t xml:space="preserve">7.62</t>
  </si>
  <si>
    <t xml:space="preserve">Transición / reducción A.C. SCH-10</t>
  </si>
  <si>
    <t xml:space="preserve">7.63</t>
  </si>
  <si>
    <t xml:space="preserve">Transición / reducción A.G. SCH-40</t>
  </si>
  <si>
    <t xml:space="preserve">7.64</t>
  </si>
  <si>
    <t xml:space="preserve">Junta de Expansión Antivibratoria D=2"</t>
  </si>
  <si>
    <t xml:space="preserve">7.65</t>
  </si>
  <si>
    <t xml:space="preserve">Tapón A.C. SCH-10</t>
  </si>
  <si>
    <t xml:space="preserve">7.66</t>
  </si>
  <si>
    <t xml:space="preserve">Codo PVCP SCH-40 D=2"</t>
  </si>
  <si>
    <t xml:space="preserve">7.67</t>
  </si>
  <si>
    <t xml:space="preserve">Unión PVCP SCH-40 – cuarto bomba</t>
  </si>
  <si>
    <t xml:space="preserve">7.68</t>
  </si>
  <si>
    <t xml:space="preserve">Unión PVCP SCH-80 – cuarto bomba</t>
  </si>
  <si>
    <t xml:space="preserve">Válvulas y Accesorios</t>
  </si>
  <si>
    <t xml:space="preserve">7.69</t>
  </si>
  <si>
    <t xml:space="preserve">Válvulas de Compuerta De ø2"</t>
  </si>
  <si>
    <t xml:space="preserve">7.114</t>
  </si>
  <si>
    <t xml:space="preserve">Válvula de Compuerta De ø1"</t>
  </si>
  <si>
    <t xml:space="preserve">7.70</t>
  </si>
  <si>
    <t xml:space="preserve">Válvulas de Compuerta De ø3"</t>
  </si>
  <si>
    <t xml:space="preserve">7.71</t>
  </si>
  <si>
    <t xml:space="preserve">Valvula de vastago D=6"</t>
  </si>
  <si>
    <t xml:space="preserve">7.72</t>
  </si>
  <si>
    <t xml:space="preserve">Válvula Mariposa con Actuador Eléctrico D=6"</t>
  </si>
  <si>
    <t xml:space="preserve">7.73</t>
  </si>
  <si>
    <t xml:space="preserve">Válvula Mariposa con Actuador Tipo Palanca D=4"</t>
  </si>
  <si>
    <t xml:space="preserve">7.74</t>
  </si>
  <si>
    <t xml:space="preserve">Válvulas de Mariposa Ranurada De ø6"</t>
  </si>
  <si>
    <t xml:space="preserve">7.75</t>
  </si>
  <si>
    <t xml:space="preserve">Válvulas de Cheque Ranurado De ø2½"</t>
  </si>
  <si>
    <t xml:space="preserve">7.76</t>
  </si>
  <si>
    <t xml:space="preserve">Válvulas de Cheque Ranurado De ø6"</t>
  </si>
  <si>
    <t xml:space="preserve">7.115</t>
  </si>
  <si>
    <t xml:space="preserve">Válvula de Cheque Ranurado De ø4"</t>
  </si>
  <si>
    <t xml:space="preserve">7.77</t>
  </si>
  <si>
    <t xml:space="preserve">Válvulas OS&amp;Y De ø2½"</t>
  </si>
  <si>
    <t xml:space="preserve">7.78</t>
  </si>
  <si>
    <t xml:space="preserve">Válvulas OS&amp;Y De ø6"</t>
  </si>
  <si>
    <t xml:space="preserve">7.79</t>
  </si>
  <si>
    <t xml:space="preserve">Valvula de Vastago Ascendente De ø6"</t>
  </si>
  <si>
    <t xml:space="preserve">7.80</t>
  </si>
  <si>
    <t xml:space="preserve">Placa Antivortice De ø1-1/4"</t>
  </si>
  <si>
    <t xml:space="preserve">7.81</t>
  </si>
  <si>
    <t xml:space="preserve">Placa Antivortice De ø6"</t>
  </si>
  <si>
    <t xml:space="preserve">7.82</t>
  </si>
  <si>
    <t xml:space="preserve">Pasamuro de ø2"× 0.60 m  A. Inox. Rosca x Rosca</t>
  </si>
  <si>
    <t xml:space="preserve">7.83</t>
  </si>
  <si>
    <t xml:space="preserve">Pasamuro de ø6"× 0.60 m, A. Inox. Rosca x Rosca</t>
  </si>
  <si>
    <t xml:space="preserve">7.84</t>
  </si>
  <si>
    <t xml:space="preserve">7.85</t>
  </si>
  <si>
    <t xml:space="preserve">Cabezal de Pruebas De ø6" con 3 salidas de ø2½"</t>
  </si>
  <si>
    <t xml:space="preserve">7.86</t>
  </si>
  <si>
    <t xml:space="preserve">Caudalimetro D=6"</t>
  </si>
  <si>
    <t xml:space="preserve">7.87</t>
  </si>
  <si>
    <t xml:space="preserve">Valvula Ventosa Restrictora UL/FM De ø1"</t>
  </si>
  <si>
    <t xml:space="preserve">7.88</t>
  </si>
  <si>
    <t xml:space="preserve">Valvula compuerta 1-1/2</t>
  </si>
  <si>
    <t xml:space="preserve">7.89</t>
  </si>
  <si>
    <t xml:space="preserve">Manometro 0-300 psi</t>
  </si>
  <si>
    <t xml:space="preserve">7.90</t>
  </si>
  <si>
    <t xml:space="preserve">Valvula bola metal 1/4</t>
  </si>
  <si>
    <t xml:space="preserve">7.91</t>
  </si>
  <si>
    <t xml:space="preserve">Cola de marrano 1/4</t>
  </si>
  <si>
    <t xml:space="preserve">7.92</t>
  </si>
  <si>
    <t xml:space="preserve">Accesorios HG 1/4</t>
  </si>
  <si>
    <t xml:space="preserve">7.93</t>
  </si>
  <si>
    <t xml:space="preserve">Valvula Angular  Restrictora UL/FM De ø2½"</t>
  </si>
  <si>
    <t xml:space="preserve">7.94</t>
  </si>
  <si>
    <t xml:space="preserve">Siamesas De ø6"×ø2½"×ø2½", incluye cheque ranurado de 6"</t>
  </si>
  <si>
    <t xml:space="preserve">TUBERIA C900</t>
  </si>
  <si>
    <t xml:space="preserve">7.95</t>
  </si>
  <si>
    <t xml:space="preserve">Tuberia PVC C900 RDE18 6"</t>
  </si>
  <si>
    <t xml:space="preserve">7.96</t>
  </si>
  <si>
    <t xml:space="preserve">Accesorios c900 6"</t>
  </si>
  <si>
    <t xml:space="preserve">7.97</t>
  </si>
  <si>
    <t xml:space="preserve">Transicion c900-AC 6"</t>
  </si>
  <si>
    <t xml:space="preserve">7.98</t>
  </si>
  <si>
    <t xml:space="preserve">7.99</t>
  </si>
  <si>
    <t xml:space="preserve">Equipo de Bombeo Principal</t>
  </si>
  <si>
    <t xml:space="preserve">7.100</t>
  </si>
  <si>
    <t xml:space="preserve">Suministro y Conexión Hidráulica Bomba Contraincendio. Condiciones de operación; Caudal Q=750 GPM, 187 MCA. Incluye tableros, suiches de nivel, tanque de Presión y demás accesorios para el correcto funcionamiento. No incluye cableado. (SE RECOMIENDA QUE LA INSTALACIÓN DEL EQUIPO DE BOMBEO, DESFOGUE Y TANQUE DIESEL SEA REALIZADA POR EL MISMO PROVEEDOR DEL SUMINISTRO).</t>
  </si>
  <si>
    <t xml:space="preserve">Equipo de Bombeo Jockey</t>
  </si>
  <si>
    <t xml:space="preserve">7.101</t>
  </si>
  <si>
    <t xml:space="preserve">Suministro y Conexión Hidráulica Bomba Jockey Caudal Q= 7,5 GPM, HT= 142 m, incluye tablero, suiches de nivel, presóstato, manómetro y demás accesorios para el correcto funcionamiento. No incluye cableado. (SE RECOMIENDA QUE LA INSTALACIÓN DEL EQUIPO DE BOMBEO SEA REALIZADA POR EL MISMO PROVEEDOR DEL SUMINISTRO).</t>
  </si>
  <si>
    <t xml:space="preserve">7.116</t>
  </si>
  <si>
    <t xml:space="preserve">Base en concreto para equipo de bombeo</t>
  </si>
  <si>
    <t xml:space="preserve">Linea de Sensado</t>
  </si>
  <si>
    <t xml:space="preserve">7.102</t>
  </si>
  <si>
    <t xml:space="preserve">Suministro e instalacion de Linea de sensado. Incluye tuberia de cobre de ø1/2", accesorios de cobre, válvulas de cierre, cheques perforados, manómetros y soportería. (SE RECOMIENDA QUE LA INSTALACIÓN DE LA DE SENSADO SE HA REALIZADA POR EL MISMO PROVEEDOR DEL SUMINISTRO DE LA BOMBA P.PAL Y JOCKEY).</t>
  </si>
  <si>
    <t xml:space="preserve">Glb.</t>
  </si>
  <si>
    <t xml:space="preserve">COMPLEMENTARIOS</t>
  </si>
  <si>
    <t xml:space="preserve">9.01</t>
  </si>
  <si>
    <t xml:space="preserve">REPARACION SALIDA SANITARIA 2"</t>
  </si>
  <si>
    <t xml:space="preserve">9.02</t>
  </si>
  <si>
    <t xml:space="preserve">REPARACION SALIDA SANITARIA 3"</t>
  </si>
  <si>
    <t xml:space="preserve">9.03</t>
  </si>
  <si>
    <t xml:space="preserve">REPARACION SALIDA SANITARIA 4"</t>
  </si>
  <si>
    <t xml:space="preserve">9.04</t>
  </si>
  <si>
    <t xml:space="preserve">REPARACION RED SANITARIA 2"</t>
  </si>
  <si>
    <t xml:space="preserve">9.05</t>
  </si>
  <si>
    <t xml:space="preserve">REPARACION RED SANITARIA 3"</t>
  </si>
  <si>
    <t xml:space="preserve">9.06</t>
  </si>
  <si>
    <t xml:space="preserve">REPARACION RED SANITARIA 4"</t>
  </si>
  <si>
    <t xml:space="preserve">9.07</t>
  </si>
  <si>
    <t xml:space="preserve">REPARACION RED SANITARIA 6"</t>
  </si>
  <si>
    <t xml:space="preserve">9.08</t>
  </si>
  <si>
    <t xml:space="preserve">REPARACION RED SANITARIA 8"</t>
  </si>
  <si>
    <t xml:space="preserve">9.09</t>
  </si>
  <si>
    <t xml:space="preserve">REPARACION PUNTO HIDRAULICO 1/2"</t>
  </si>
  <si>
    <t xml:space="preserve">9.10</t>
  </si>
  <si>
    <t xml:space="preserve">REPARACION RED HIDRAULICA 1/2" A 1"</t>
  </si>
  <si>
    <t xml:space="preserve">9.11</t>
  </si>
  <si>
    <t xml:space="preserve">REPARACION RED HIDRAULICA 1-1/4" A 2"</t>
  </si>
  <si>
    <t xml:space="preserve">9.12</t>
  </si>
  <si>
    <t xml:space="preserve">REPARACION RED HIDRAULICA 2-1/2 A 3"</t>
  </si>
  <si>
    <t xml:space="preserve">9.13</t>
  </si>
  <si>
    <t xml:space="preserve">REPARACION RED HIDRAULICA 4"</t>
  </si>
  <si>
    <t xml:space="preserve">VARIOS</t>
  </si>
  <si>
    <t xml:space="preserve">10.01</t>
  </si>
  <si>
    <t xml:space="preserve">PLANOS RECORD</t>
  </si>
  <si>
    <t xml:space="preserve">GB</t>
  </si>
  <si>
    <t xml:space="preserve">10.02</t>
  </si>
  <si>
    <t xml:space="preserve">REDES PROVISIONALES (no incluye tanques y equipos de bombeo)</t>
  </si>
  <si>
    <t xml:space="preserve">10.03</t>
  </si>
  <si>
    <t xml:space="preserve">SEÑALIZACION REDES</t>
  </si>
  <si>
    <t xml:space="preserve">10.04</t>
  </si>
  <si>
    <t xml:space="preserve">MANUAL DE MANTENIMIENTO</t>
  </si>
  <si>
    <t xml:space="preserve">10.05</t>
  </si>
  <si>
    <t xml:space="preserve">PRUEBA GENERAL HIDRAULICA</t>
  </si>
  <si>
    <t xml:space="preserve">10.06</t>
  </si>
  <si>
    <t xml:space="preserve">PRUEBA GENERAL SANITARIA</t>
  </si>
  <si>
    <t xml:space="preserve">10.07</t>
  </si>
  <si>
    <t xml:space="preserve">PRUEBA GENERAL RED  INCENDIO</t>
  </si>
  <si>
    <t xml:space="preserve">10.08</t>
  </si>
  <si>
    <t xml:space="preserve">TRAMITES SERVICIOS</t>
  </si>
  <si>
    <t xml:space="preserve">COSTO DIRECTO </t>
  </si>
  <si>
    <t xml:space="preserve">VALOR TOTAL DE LA PROPUESTA</t>
  </si>
  <si>
    <t xml:space="preserve">BASE DE DATOS REVIT – RCI</t>
  </si>
  <si>
    <t xml:space="preserve">Edite solo la columna amarilla 'Código NIVEL' para asignar elementos. Ítem, Und. y Estado se calculan.</t>
  </si>
  <si>
    <t xml:space="preserve">ID</t>
  </si>
  <si>
    <t xml:space="preserve">Código NIVEL</t>
  </si>
  <si>
    <t xml:space="preserve">Ítem NIVEL</t>
  </si>
  <si>
    <t xml:space="preserve">Und.</t>
  </si>
  <si>
    <t xml:space="preserve">Orden nivel</t>
  </si>
  <si>
    <t xml:space="preserve">Cantidad</t>
  </si>
  <si>
    <t xml:space="preserve">Familia / tipo Revit</t>
  </si>
  <si>
    <t xml:space="preserve">Descripción Revit</t>
  </si>
  <si>
    <t xml:space="preserve">Tamaño / diámetro</t>
  </si>
  <si>
    <t xml:space="preserve">Comentarios</t>
  </si>
  <si>
    <t xml:space="preserve">Estado</t>
  </si>
  <si>
    <t xml:space="preserve">Origen asignación</t>
  </si>
  <si>
    <t xml:space="preserve">Nivel Cuarto de Bomba Sub</t>
  </si>
  <si>
    <t xml:space="preserve">IDC_JUNTA DE EXPANCION ANTIVIBRATORIA: IDC_JUNTA DE EXPANCION ANTIVIBRATORIA</t>
  </si>
  <si>
    <t xml:space="preserve">JUNTA DE EXPANCIÓN ANTIVIBRATORIA</t>
  </si>
  <si>
    <t xml:space="preserve">2"ø-2"ø</t>
  </si>
  <si>
    <t xml:space="preserve">Cruce Revit</t>
  </si>
  <si>
    <t xml:space="preserve">IDC_VALVULA DE COMPUERTA: 2 Inch</t>
  </si>
  <si>
    <t xml:space="preserve">VÁLVULA DE COMPUERTA</t>
  </si>
  <si>
    <t xml:space="preserve">IDC_VALVULA DE COMPUERTA: 1 Inch</t>
  </si>
  <si>
    <t xml:space="preserve">Revisión 2026-10-08</t>
  </si>
  <si>
    <t xml:space="preserve">IDC_CABEZAL DE PRUEBAS: IDC_CABEZAL DE PRUEBAS</t>
  </si>
  <si>
    <t xml:space="preserve">CABEZAL DE PRUEBA CON TRES SALIDAS ø2 1/2</t>
  </si>
  <si>
    <t xml:space="preserve">6"ø</t>
  </si>
  <si>
    <t xml:space="preserve">IDC_CAUDALIMETRO: Default</t>
  </si>
  <si>
    <t xml:space="preserve">CAUDALIMETRO</t>
  </si>
  <si>
    <t xml:space="preserve">6"ø-6"ø</t>
  </si>
  <si>
    <t xml:space="preserve">IDC_PASE RUANA EXTREMOS BRIDADOS: IDC_PASE RUANA EXTREMOS BRIDADOS</t>
  </si>
  <si>
    <t xml:space="preserve">PASE EN ACERO CON RUANA PASA MUROS</t>
  </si>
  <si>
    <t xml:space="preserve">IDC_PLATINA ANTIVORTICE: PLATINA ANTIVORTICE</t>
  </si>
  <si>
    <t xml:space="preserve">PLATINA ANTI-VÓRTICE DE 0.30 * 0.30 m</t>
  </si>
  <si>
    <t xml:space="preserve">IDC_VALVULA DE VASTAGO: VALVULA OS&amp;Y</t>
  </si>
  <si>
    <t xml:space="preserve">VÁLVULA DE VÁSTAGO</t>
  </si>
  <si>
    <t xml:space="preserve">Nivel Sótano 3</t>
  </si>
  <si>
    <t xml:space="preserve">VKV EasyPac Floor Control Riser Manifold: GxG 2 1/2" EasyPac with Test and Drain w/ Relief Va</t>
  </si>
  <si>
    <t xml:space="preserve">2 1/2"ø-2 1/2"ø-1 1/4"ø</t>
  </si>
  <si>
    <t xml:space="preserve">Nivel Sótano 2</t>
  </si>
  <si>
    <t xml:space="preserve">Nivel Sótano 1</t>
  </si>
  <si>
    <t xml:space="preserve">Nivel Semisótano</t>
  </si>
  <si>
    <t xml:space="preserve">Nivel 1</t>
  </si>
  <si>
    <t xml:space="preserve">Fire-Protection_UWP_Swing-Check-Valve_Grooved: 4"</t>
  </si>
  <si>
    <t xml:space="preserve">4"ø-4"ø</t>
  </si>
  <si>
    <t xml:space="preserve">Nivel 2</t>
  </si>
  <si>
    <t xml:space="preserve">Nivel 13</t>
  </si>
  <si>
    <t xml:space="preserve">IDC_VALVULA DE COMPUERTA1: 1 Inch 2</t>
  </si>
  <si>
    <t xml:space="preserve">VÁLVULA DE COMPUERTA 1"</t>
  </si>
  <si>
    <t xml:space="preserve">1"ø-1"ø</t>
  </si>
  <si>
    <t xml:space="preserve">Nivel 14</t>
  </si>
  <si>
    <t xml:space="preserve">IDC_MANOMETRO DE GLICERINA: IDC_MANOMETRO DE GLICERINA</t>
  </si>
  <si>
    <t xml:space="preserve">MANÓMETRO DE GLICERINA</t>
  </si>
  <si>
    <t xml:space="preserve">1"ø</t>
  </si>
  <si>
    <t xml:space="preserve">IDC_VALVULA EXPULSORA DE AIRE: 3/4” F x 3/8” F</t>
  </si>
  <si>
    <t xml:space="preserve">VÁLVULA EXPULSORA DE AIRE 1"</t>
  </si>
  <si>
    <t xml:space="preserve">LS model</t>
  </si>
  <si>
    <t xml:space="preserve">USE TYPE CATALOG</t>
  </si>
  <si>
    <t xml:space="preserve">IDC_BASE DE CONCRETO</t>
  </si>
  <si>
    <t xml:space="preserve">Nivel Sótano 4</t>
  </si>
  <si>
    <t xml:space="preserve">IDC_ROCIADORES: ROCIADOR COLGANTE (COB ESTANDAR)</t>
  </si>
  <si>
    <t xml:space="preserve">SPK</t>
  </si>
  <si>
    <t xml:space="preserve">IDC_SOPORTES ANTISISMICOS: SOPORTE LONGITUDINAL</t>
  </si>
  <si>
    <t xml:space="preserve">SOPORTE LONGITUDINAL</t>
  </si>
  <si>
    <t xml:space="preserve">0"</t>
  </si>
  <si>
    <t xml:space="preserve">SOPORTE CABEZAL DE PRUEBA</t>
  </si>
  <si>
    <t xml:space="preserve">SOPORTE RED DE DISTRIBUCIÓN VERTICAL</t>
  </si>
  <si>
    <t xml:space="preserve">IDC_SOPORTES ANTISISMICOS: SOPORTE TRANSVERSAL</t>
  </si>
  <si>
    <t xml:space="preserve">SOPORTE TRANSVERSAL</t>
  </si>
  <si>
    <t xml:space="preserve">3"</t>
  </si>
  <si>
    <t xml:space="preserve">IDC_SOPORTE TUBERIA: SOPORTE TUBERIA</t>
  </si>
  <si>
    <t xml:space="preserve">SOPORTE TIPO PERA</t>
  </si>
  <si>
    <t xml:space="preserve">1 1/2"</t>
  </si>
  <si>
    <t xml:space="preserve">6"</t>
  </si>
  <si>
    <t xml:space="preserve">2"</t>
  </si>
  <si>
    <t xml:space="preserve">2 1/2"</t>
  </si>
  <si>
    <t xml:space="preserve">4"</t>
  </si>
  <si>
    <t xml:space="preserve">Nivel 3</t>
  </si>
  <si>
    <t xml:space="preserve">Nivel 4</t>
  </si>
  <si>
    <t xml:space="preserve">Nivel 5</t>
  </si>
  <si>
    <t xml:space="preserve">Nivel 6</t>
  </si>
  <si>
    <t xml:space="preserve">Nivel 7</t>
  </si>
  <si>
    <t xml:space="preserve">Nivel 8</t>
  </si>
  <si>
    <t xml:space="preserve">Nivel 9</t>
  </si>
  <si>
    <t xml:space="preserve">Nivel 10</t>
  </si>
  <si>
    <t xml:space="preserve">Nivel 11</t>
  </si>
  <si>
    <t xml:space="preserve">Nivel 12</t>
  </si>
  <si>
    <t xml:space="preserve">Nivel 15</t>
  </si>
  <si>
    <t xml:space="preserve">Pipe Types: R.C.I. - ACERO</t>
  </si>
  <si>
    <t xml:space="preserve">1 1/2"ø</t>
  </si>
  <si>
    <t xml:space="preserve">Pipe Types: TUB_TUBASYS_RAL3000 10217-1</t>
  </si>
  <si>
    <t xml:space="preserve">2"ø</t>
  </si>
  <si>
    <t xml:space="preserve">4"ø</t>
  </si>
  <si>
    <t xml:space="preserve">3"ø</t>
  </si>
  <si>
    <t xml:space="preserve">1 1/4"ø</t>
  </si>
  <si>
    <t xml:space="preserve">2 1/2"ø</t>
  </si>
  <si>
    <t xml:space="preserve">+R.C.I A.C Codo 2: A.G. - CODO</t>
  </si>
  <si>
    <t xml:space="preserve">A.G. SCH-40 _ CODO</t>
  </si>
  <si>
    <t xml:space="preserve">+R.C.I A.C Codo: CODO</t>
  </si>
  <si>
    <t xml:space="preserve">A.C. SCH-10 _ CODO</t>
  </si>
  <si>
    <t xml:space="preserve">+R.C.I A.C Tee 2: A.G. - TEE</t>
  </si>
  <si>
    <t xml:space="preserve">3"ø-3"ø-3"ø</t>
  </si>
  <si>
    <t xml:space="preserve">2"ø-2"ø-2"ø</t>
  </si>
  <si>
    <t xml:space="preserve">+R.C.I A.C Tee: A.C. TEE</t>
  </si>
  <si>
    <t xml:space="preserve">A.C. SCH-10 _ TEE</t>
  </si>
  <si>
    <t xml:space="preserve">6"ø-6"ø-6"ø</t>
  </si>
  <si>
    <t xml:space="preserve">A.C. - CODO: A.C. - CODO</t>
  </si>
  <si>
    <t xml:space="preserve">3"ø-3"ø</t>
  </si>
  <si>
    <t xml:space="preserve">2 1/2"ø-2 1/2"ø</t>
  </si>
  <si>
    <t xml:space="preserve">A.C. - TAPON: A.C. - TAPON</t>
  </si>
  <si>
    <t xml:space="preserve">A.C. - TEE MECANICA (INJERTO)1: TEE MECÁNICA (A.C.) - 2"</t>
  </si>
  <si>
    <t xml:space="preserve">A.C. SCH-10 _ TEE MECÁNICA</t>
  </si>
  <si>
    <t xml:space="preserve">2"ø-1"ø</t>
  </si>
  <si>
    <t xml:space="preserve">A.C. - TEE MECANICA (INJERTO)1: TEE MECÁNICA (A.G.) - 1 1/2"</t>
  </si>
  <si>
    <t xml:space="preserve">1 1/2"ø-1"ø</t>
  </si>
  <si>
    <t xml:space="preserve">2 1/2"ø-1 1/2"ø</t>
  </si>
  <si>
    <t xml:space="preserve">A.C. - TEE MECANICA (INJERTO): TEE MECÁNICA (A.C.) - 2"</t>
  </si>
  <si>
    <t xml:space="preserve">A.C. TEE MECÁNICA</t>
  </si>
  <si>
    <t xml:space="preserve">A.C. - TEE MECANICA (INJERTO): TEE MECÁNICA (A.C.) - 3"</t>
  </si>
  <si>
    <t xml:space="preserve">&lt;varies&gt;</t>
  </si>
  <si>
    <t xml:space="preserve">A.C. - TEE MECANICA (INJERTO): TEE MECÁNICA (A.C.) - 6"</t>
  </si>
  <si>
    <t xml:space="preserve">6"ø-2"ø</t>
  </si>
  <si>
    <t xml:space="preserve">6"ø-2 1/2"ø</t>
  </si>
  <si>
    <t xml:space="preserve">A.C. - TEE MECANICA (INJERTO): TEE MECÁNICA (A.G.) - 1 1/2"</t>
  </si>
  <si>
    <t xml:space="preserve">A.G. TEE MECÁNICA</t>
  </si>
  <si>
    <t xml:space="preserve">A.C. - TEE: A.C. - TEE</t>
  </si>
  <si>
    <t xml:space="preserve">A.C. - TRANSICION: A.C. - TRANSICION</t>
  </si>
  <si>
    <t xml:space="preserve">A.C. SCH-10 _ REDUCCIÓN</t>
  </si>
  <si>
    <t xml:space="preserve">6"ø-4"ø</t>
  </si>
  <si>
    <t xml:space="preserve">3"ø-1 1/2"ø</t>
  </si>
  <si>
    <t xml:space="preserve">3"ø-2 1/2"ø</t>
  </si>
  <si>
    <t xml:space="preserve">3"ø-2"ø</t>
  </si>
  <si>
    <t xml:space="preserve">2"ø-1 1/2"ø</t>
  </si>
  <si>
    <t xml:space="preserve">A.C. - UNION 6: A.C. - UNION 6"</t>
  </si>
  <si>
    <t xml:space="preserve">A.C. SCH-10 _ UNIÓN</t>
  </si>
  <si>
    <t xml:space="preserve">A.C. - UNION: A.C. - UNION</t>
  </si>
  <si>
    <t xml:space="preserve">A.G. - CODO: A.G. - CODO</t>
  </si>
  <si>
    <t xml:space="preserve">1 1/2"ø-1 1/2"ø</t>
  </si>
  <si>
    <t xml:space="preserve">A.G. - TEE: A.G. - TEE</t>
  </si>
  <si>
    <t xml:space="preserve">A.G. SCH-40 _ TEE</t>
  </si>
  <si>
    <t xml:space="preserve">1"ø-1"ø-1"ø</t>
  </si>
  <si>
    <t xml:space="preserve">A.G. - TRANSICION: A.G. - TRANSICION</t>
  </si>
  <si>
    <t xml:space="preserve">A.G. SCH-40 _ REDUCCIÓN</t>
  </si>
  <si>
    <t xml:space="preserve">A.G. - UNION: A.G. - UNION</t>
  </si>
  <si>
    <t xml:space="preserve">A.G. SCH-40 _ UNIÓN</t>
  </si>
  <si>
    <t xml:space="preserve">IDC_PASE: PASE RCI</t>
  </si>
  <si>
    <t xml:space="preserve">PASE EN MURO</t>
  </si>
  <si>
    <t xml:space="preserve">IDC_SELLO CORTAFUEGOS: IDC_SELLO CORTAFUEGOS</t>
  </si>
  <si>
    <t xml:space="preserve">SELLO CORTA FUEGOS</t>
  </si>
  <si>
    <t xml:space="preserve">TUBASYS - 00 GROOVED OUTLET - SHORT: RAL3000</t>
  </si>
  <si>
    <t xml:space="preserve">TUBASYS - 01 RIGID COUPLING - UNION: RAL3000</t>
  </si>
  <si>
    <t xml:space="preserve">TUBASYS - 05_06 GROOVED ELBOW: RAL3000</t>
  </si>
  <si>
    <t xml:space="preserve">Victaulic-FP-Grooved Coupling1: Standard 2</t>
  </si>
  <si>
    <t xml:space="preserve">1 1/4"</t>
  </si>
  <si>
    <t xml:space="preserve">Victaulic-FP-Grooved Coupling2: Standard 3</t>
  </si>
  <si>
    <t xml:space="preserve">ACOPLE</t>
  </si>
  <si>
    <t xml:space="preserve">Victaulic-FP-Grooved Coupling3: Standard 3</t>
  </si>
  <si>
    <t xml:space="preserve">Victaulic-Grooved Coupling OGS-AGS: Standard</t>
  </si>
  <si>
    <t xml:space="preserve">CRUCE DE CANTIDADES RCI POR NIVEL DE PISO</t>
  </si>
  <si>
    <t xml:space="preserve">Suma de BD_REVIT por ítem y nivel. 'Dif.' compara contra la cantidad global de NIVEL (debe ser 0).</t>
  </si>
  <si>
    <t xml:space="preserve">=</t>
  </si>
  <si>
    <t xml:space="preserve">C. Bomba</t>
  </si>
  <si>
    <t xml:space="preserve">Sin nivel</t>
  </si>
  <si>
    <t xml:space="preserve">NIVEL</t>
  </si>
  <si>
    <t xml:space="preserve">Dif.</t>
  </si>
  <si>
    <t xml:space="preserve">Sin asignar (unidades mezcladas, ver BD_REVIT)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</si>
</sst>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_(* #,##0.00_);_(* \(#,##0.00\);_(* \-??_);_(@_)"/>
    <numFmt numFmtId="166" formatCode="_(* #,##0_);_(* \(#,##0\);_(* \-_);_(@_)"/>
    <numFmt numFmtId="167" formatCode="_(\$* #,##0.00_);_(\$* \(#,##0.00\);_(\$* \-??_);_(@_)"/>
    <numFmt numFmtId="168" formatCode="_(&quot;$ &quot;* #,##0.00_);_(&quot;$ &quot;* \(#,##0.00\);_(&quot;$ &quot;* \-??_);_(@_)"/>
    <numFmt numFmtId="169" formatCode="_(\$* #,##0.00_);_(\$* \(#,##0.00\);_(\$* \-??_);_(@_)"/>
    <numFmt numFmtId="170" formatCode="_(\$* #,##0_);_(\$* \(#,##0\);_(\$* \-_);_(@_)"/>
    <numFmt numFmtId="171" formatCode="0%"/>
    <numFmt numFmtId="172" formatCode="#,##0;\-#,##0;\-"/>
    <numFmt numFmtId="173" formatCode="0.0%"/>
    <numFmt numFmtId="174" formatCode="@"/>
    <numFmt numFmtId="175" formatCode="General"/>
    <numFmt numFmtId="176" formatCode="#,##0.00;\-#,##0.00;\-"/>
    <numFmt numFmtId="177" formatCode="0.00"/>
    <numFmt numFmtId="178" formatCode="#,##0.0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color theme="1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8"/>
      <color rgb="FF595959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1"/>
      <name val="Aptos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11"/>
      <name val="Aptos"/>
      <family val="0"/>
      <charset val="1"/>
    </font>
    <font>
      <sz val="7"/>
      <color rgb="FFFFFFFF"/>
      <name val="Arial"/>
      <family val="0"/>
      <charset val="1"/>
    </font>
    <font>
      <i val="true"/>
      <sz val="9"/>
      <color rgb="FFC00000"/>
      <name val="Arial"/>
      <family val="0"/>
      <charset val="1"/>
    </font>
    <font>
      <sz val="9"/>
      <color rgb="FFC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EF3FA"/>
        <bgColor rgb="FFF2F2F2"/>
      </patternFill>
    </fill>
    <fill>
      <patternFill patternType="solid">
        <fgColor rgb="FFFFF2CC"/>
        <bgColor rgb="FFFCE4E4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EEF3FA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7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5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5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59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10" fillId="2" borderId="0" xfId="59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10" fillId="2" borderId="0" xfId="59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5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5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2" fillId="3" borderId="1" xfId="5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59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5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4" fillId="0" borderId="1" xfId="5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5" fillId="0" borderId="0" xfId="5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4" fillId="0" borderId="1" xfId="5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1" xfId="5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5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5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59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0" xfId="5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5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59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5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5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5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59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1" xfId="5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1" fillId="6" borderId="1" xfId="5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59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6" borderId="1" xfId="5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1" fillId="6" borderId="1" xfId="5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5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1" fillId="5" borderId="1" xfId="5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59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5" borderId="1" xfId="5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1" fillId="5" borderId="1" xfId="59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4" fontId="4" fillId="0" borderId="1" xfId="5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59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" xfId="5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4" fillId="0" borderId="1" xfId="5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11" fillId="5" borderId="1" xfId="59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7" fontId="11" fillId="5" borderId="1" xfId="5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1" fillId="6" borderId="1" xfId="5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1" fillId="5" borderId="1" xfId="5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4" fillId="0" borderId="0" xfId="5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4" fillId="0" borderId="0" xfId="5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4" fillId="0" borderId="0" xfId="5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5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5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5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5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5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5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11" fillId="0" borderId="1" xfId="5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5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5" fillId="0" borderId="0" xfId="59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5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illares 107" xfId="20"/>
    <cellStyle name="Millares 107 2" xfId="21"/>
    <cellStyle name="Millares 107 2 2" xfId="22"/>
    <cellStyle name="Millares 2" xfId="23"/>
    <cellStyle name="Millares 2 2" xfId="24"/>
    <cellStyle name="Millares 2 2 2" xfId="25"/>
    <cellStyle name="Millares 2 2 2 2" xfId="26"/>
    <cellStyle name="Millares 2 3" xfId="27"/>
    <cellStyle name="Millares 2 3 2" xfId="28"/>
    <cellStyle name="Millares 3" xfId="29"/>
    <cellStyle name="Millares 3 2" xfId="30"/>
    <cellStyle name="Millares 3 2 2" xfId="31"/>
    <cellStyle name="Millares 4" xfId="32"/>
    <cellStyle name="Millares 4 2" xfId="33"/>
    <cellStyle name="Millares 4 2 2" xfId="34"/>
    <cellStyle name="Millares 5" xfId="35"/>
    <cellStyle name="Millares 5 2" xfId="36"/>
    <cellStyle name="Millares 5 2 2" xfId="37"/>
    <cellStyle name="Millares [0] 2 2" xfId="38"/>
    <cellStyle name="Moneda 2" xfId="39"/>
    <cellStyle name="Moneda 2 2" xfId="40"/>
    <cellStyle name="Moneda 2 2 2" xfId="41"/>
    <cellStyle name="Moneda 2 3" xfId="42"/>
    <cellStyle name="Moneda 2 3 2" xfId="43"/>
    <cellStyle name="Moneda 2 3 2 2" xfId="44"/>
    <cellStyle name="Moneda 2 4" xfId="45"/>
    <cellStyle name="Moneda 2 4 2" xfId="46"/>
    <cellStyle name="Moneda 3" xfId="47"/>
    <cellStyle name="Moneda 3 2" xfId="48"/>
    <cellStyle name="Moneda 3 2 2" xfId="49"/>
    <cellStyle name="Moneda 4" xfId="50"/>
    <cellStyle name="Moneda 4 2" xfId="51"/>
    <cellStyle name="Moneda 5" xfId="52"/>
    <cellStyle name="Moneda 5 2" xfId="53"/>
    <cellStyle name="Moneda 6" xfId="54"/>
    <cellStyle name="Moneda 7" xfId="55"/>
    <cellStyle name="Moneda [0] 2" xfId="56"/>
    <cellStyle name="Moneda [0] 2 2" xfId="57"/>
    <cellStyle name="Moneda [0] 3" xfId="58"/>
    <cellStyle name="Normal" xfId="59"/>
    <cellStyle name="Normal 2" xfId="60"/>
    <cellStyle name="Normal 3" xfId="61"/>
    <cellStyle name="Normal 3 2" xfId="62"/>
    <cellStyle name="Normal 4" xfId="63"/>
    <cellStyle name="Normal 5" xfId="64"/>
    <cellStyle name="Porcentaje 2" xfId="65"/>
    <cellStyle name="Porcentaje 2 2" xfId="66"/>
    <cellStyle name="Porcentaje 3" xfId="67"/>
    <cellStyle name="Porcentaje 3 2" xfId="68"/>
    <cellStyle name="Porcentaje 4" xfId="69"/>
    <cellStyle name="Porcentaje 5" xfId="70"/>
    <cellStyle name="Porcentual 2" xfId="71"/>
    <cellStyle name="Porcentual 2 2" xfId="72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ont>
        <b val="1"/>
        <color rgb="FFC00000"/>
      </font>
      <fill>
        <patternFill>
          <bgColor rgb="FFFCE4E4"/>
        </patternFill>
      </fill>
    </dxf>
    <dxf>
      <font>
        <color rgb="FF2E7D32"/>
      </font>
    </dxf>
    <dxf>
      <fill>
        <patternFill>
          <bgColor rgb="FFF8CBA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EF3FA"/>
      <rgbColor rgb="FF660066"/>
      <rgbColor rgb="FFFF8080"/>
      <rgbColor rgb="FF2E5AA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E1F2"/>
      <rgbColor rgb="FFFCE4E4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D9534F"/>
      <rgbColor rgb="FF595959"/>
      <rgbColor rgb="FF878787"/>
      <rgbColor rgb="FF1F3864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Cantidad del ítem seleccionado por nivel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DASHBOARD!C16</c:f>
              <c:strCache>
                <c:ptCount val="1"/>
                <c:pt idx="0">
                  <c:v>Cantidad ítem</c:v>
                </c:pt>
              </c:strCache>
            </c:strRef>
          </c:tx>
          <c:spPr>
            <a:solidFill>
              <a:srgbClr val="2e5aa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DASHBOARD!$B$17:$B$37</c:f>
              <c:strCache>
                <c:ptCount val="21"/>
                <c:pt idx="0">
                  <c:v>Cuarto de Bomba Sub</c:v>
                </c:pt>
                <c:pt idx="1">
                  <c:v>Sótano 4</c:v>
                </c:pt>
                <c:pt idx="2">
                  <c:v>Sótano 3</c:v>
                </c:pt>
                <c:pt idx="3">
                  <c:v>Sótano 2</c:v>
                </c:pt>
                <c:pt idx="4">
                  <c:v>Sótano 1</c:v>
                </c:pt>
                <c:pt idx="5">
                  <c:v>Semisótano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  <c:pt idx="18">
                  <c:v>13</c:v>
                </c:pt>
                <c:pt idx="19">
                  <c:v>14</c:v>
                </c:pt>
                <c:pt idx="20">
                  <c:v>15</c:v>
                </c:pt>
              </c:strCache>
            </c:strRef>
          </c:cat>
          <c:val>
            <c:numRef>
              <c:f>DASHBOARD!$C$17:$C$37</c:f>
              <c:numCache>
                <c:formatCode>#,##0.00;\-#,##0.00;\-</c:formatCode>
                <c:ptCount val="21"/>
                <c:pt idx="0">
                  <c:v>1.98</c:v>
                </c:pt>
                <c:pt idx="1">
                  <c:v>31.36</c:v>
                </c:pt>
                <c:pt idx="2">
                  <c:v>161.86</c:v>
                </c:pt>
                <c:pt idx="3">
                  <c:v>193.88</c:v>
                </c:pt>
                <c:pt idx="4">
                  <c:v>160.93</c:v>
                </c:pt>
                <c:pt idx="5">
                  <c:v>59.51</c:v>
                </c:pt>
                <c:pt idx="6">
                  <c:v>74.8</c:v>
                </c:pt>
                <c:pt idx="7">
                  <c:v>17.36</c:v>
                </c:pt>
                <c:pt idx="8">
                  <c:v>19.32</c:v>
                </c:pt>
                <c:pt idx="9">
                  <c:v>19.32</c:v>
                </c:pt>
                <c:pt idx="10">
                  <c:v>19.32</c:v>
                </c:pt>
                <c:pt idx="11">
                  <c:v>19.32</c:v>
                </c:pt>
                <c:pt idx="12">
                  <c:v>19.32</c:v>
                </c:pt>
                <c:pt idx="13">
                  <c:v>19.32</c:v>
                </c:pt>
                <c:pt idx="14">
                  <c:v>19.32</c:v>
                </c:pt>
                <c:pt idx="15">
                  <c:v>19.32</c:v>
                </c:pt>
                <c:pt idx="16">
                  <c:v>19.32</c:v>
                </c:pt>
                <c:pt idx="17">
                  <c:v>19.32</c:v>
                </c:pt>
                <c:pt idx="18">
                  <c:v>19.32</c:v>
                </c:pt>
                <c:pt idx="19">
                  <c:v>18.65</c:v>
                </c:pt>
                <c:pt idx="20">
                  <c:v>12.31</c:v>
                </c:pt>
              </c:numCache>
            </c:numRef>
          </c:val>
        </c:ser>
        <c:gapWidth val="150"/>
        <c:overlap val="0"/>
        <c:axId val="86081563"/>
        <c:axId val="97774313"/>
      </c:barChart>
      <c:catAx>
        <c:axId val="8608156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7774313"/>
        <c:crosses val="autoZero"/>
        <c:auto val="1"/>
        <c:lblAlgn val="ctr"/>
        <c:lblOffset val="100"/>
        <c:noMultiLvlLbl val="0"/>
      </c:catAx>
      <c:valAx>
        <c:axId val="977743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;\-#,##0.0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60815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Elementos por categoría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DASHBOARD!I10</c:f>
              <c:strCache>
                <c:ptCount val="1"/>
                <c:pt idx="0">
                  <c:v>Asignados</c:v>
                </c:pt>
              </c:strCache>
            </c:strRef>
          </c:tx>
          <c:spPr>
            <a:solidFill>
              <a:srgbClr val="2e5aa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DASHBOARD!$G$11:$G$16</c:f>
              <c:strCache>
                <c:ptCount val="6"/>
                <c:pt idx="0">
                  <c:v>Accesorios</c:v>
                </c:pt>
                <c:pt idx="1">
                  <c:v>Equipos</c:v>
                </c:pt>
                <c:pt idx="2">
                  <c:v>Rociadores</c:v>
                </c:pt>
                <c:pt idx="3">
                  <c:v>Soportes</c:v>
                </c:pt>
                <c:pt idx="4">
                  <c:v>Tuberías</c:v>
                </c:pt>
                <c:pt idx="5">
                  <c:v>Uniones</c:v>
                </c:pt>
              </c:strCache>
            </c:strRef>
          </c:cat>
          <c:val>
            <c:numRef>
              <c:f>DASHBOARD!$I$11:$I$16</c:f>
              <c:numCache>
                <c:formatCode>General</c:formatCode>
                <c:ptCount val="6"/>
                <c:pt idx="0">
                  <c:v>33</c:v>
                </c:pt>
                <c:pt idx="1">
                  <c:v>3</c:v>
                </c:pt>
                <c:pt idx="2">
                  <c:v>6</c:v>
                </c:pt>
                <c:pt idx="3">
                  <c:v>53</c:v>
                </c:pt>
                <c:pt idx="4">
                  <c:v>94</c:v>
                </c:pt>
                <c:pt idx="5">
                  <c:v>272</c:v>
                </c:pt>
              </c:numCache>
            </c:numRef>
          </c:val>
        </c:ser>
        <c:ser>
          <c:idx val="1"/>
          <c:order val="1"/>
          <c:tx>
            <c:strRef>
              <c:f>DASHBOARD!J10</c:f>
              <c:strCache>
                <c:ptCount val="1"/>
                <c:pt idx="0">
                  <c:v>Sin asignar</c:v>
                </c:pt>
              </c:strCache>
            </c:strRef>
          </c:tx>
          <c:spPr>
            <a:solidFill>
              <a:srgbClr val="d9534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DASHBOARD!$G$11:$G$16</c:f>
              <c:strCache>
                <c:ptCount val="6"/>
                <c:pt idx="0">
                  <c:v>Accesorios</c:v>
                </c:pt>
                <c:pt idx="1">
                  <c:v>Equipos</c:v>
                </c:pt>
                <c:pt idx="2">
                  <c:v>Rociadores</c:v>
                </c:pt>
                <c:pt idx="3">
                  <c:v>Soportes</c:v>
                </c:pt>
                <c:pt idx="4">
                  <c:v>Tuberías</c:v>
                </c:pt>
                <c:pt idx="5">
                  <c:v>Uniones</c:v>
                </c:pt>
              </c:strCache>
            </c:strRef>
          </c:cat>
          <c:val>
            <c:numRef>
              <c:f>DASHBOARD!$J$11:$J$16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100"/>
        <c:axId val="20306956"/>
        <c:axId val="35396290"/>
      </c:barChart>
      <c:catAx>
        <c:axId val="203069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5396290"/>
        <c:crosses val="autoZero"/>
        <c:auto val="1"/>
        <c:lblAlgn val="ctr"/>
        <c:lblOffset val="100"/>
        <c:noMultiLvlLbl val="0"/>
      </c:catAx>
      <c:valAx>
        <c:axId val="353962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03069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17</xdr:row>
      <xdr:rowOff>63360</xdr:rowOff>
    </xdr:from>
    <xdr:to>
      <xdr:col>11</xdr:col>
      <xdr:colOff>395280</xdr:colOff>
      <xdr:row>38</xdr:row>
      <xdr:rowOff>22680</xdr:rowOff>
    </xdr:to>
    <xdr:graphicFrame>
      <xdr:nvGraphicFramePr>
        <xdr:cNvPr id="0" name="Chart 1"/>
        <xdr:cNvGraphicFramePr/>
      </xdr:nvGraphicFramePr>
      <xdr:xfrm>
        <a:off x="5145480" y="3619440"/>
        <a:ext cx="53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40</xdr:row>
      <xdr:rowOff>63360</xdr:rowOff>
    </xdr:from>
    <xdr:to>
      <xdr:col>11</xdr:col>
      <xdr:colOff>395280</xdr:colOff>
      <xdr:row>54</xdr:row>
      <xdr:rowOff>96120</xdr:rowOff>
    </xdr:to>
    <xdr:graphicFrame>
      <xdr:nvGraphicFramePr>
        <xdr:cNvPr id="1" name="Chart 2"/>
        <xdr:cNvGraphicFramePr/>
      </xdr:nvGraphicFramePr>
      <xdr:xfrm>
        <a:off x="5145480" y="80010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aRevit" displayName="TablaRevit" ref="A5:N466" headerRowCount="1" totalsRowCount="0" totalsRowShown="0">
  <autoFilter ref="A5:N466"/>
  <tableColumns count="14">
    <tableColumn id="1" name="ID"/>
    <tableColumn id="2" name="Categoría"/>
    <tableColumn id="3" name="Código NIVEL"/>
    <tableColumn id="4" name="Ítem NIVEL"/>
    <tableColumn id="5" name="Und."/>
    <tableColumn id="6" name="Nivel de piso"/>
    <tableColumn id="7" name="Orden nivel"/>
    <tableColumn id="8" name="Cantidad"/>
    <tableColumn id="9" name="Familia / tipo Revit"/>
    <tableColumn id="10" name="Descripción Revit"/>
    <tableColumn id="11" name="Tamaño / diámetro"/>
    <tableColumn id="12" name="Comentarios"/>
    <tableColumn id="13" name="Estado"/>
    <tableColumn id="14" name="Origen asignació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5" min="3" style="0" width="14"/>
    <col collapsed="false" customWidth="true" hidden="false" outlineLevel="0" max="6" min="6" style="0" width="3"/>
    <col collapsed="false" customWidth="true" hidden="false" outlineLevel="0" max="7" min="7" style="0" width="26"/>
    <col collapsed="false" customWidth="true" hidden="false" outlineLevel="0" max="10" min="8" style="0" width="14"/>
    <col collapsed="false" customWidth="true" hidden="false" outlineLevel="0" max="11" min="11" style="0" width="3"/>
    <col collapsed="false" customWidth="true" hidden="false" outlineLevel="0" max="14" min="12" style="0" width="14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9.4" hidden="false" customHeight="false" outlineLevel="0" collapsed="false">
      <c r="B5" s="3" t="s">
        <v>2</v>
      </c>
      <c r="C5" s="3" t="s">
        <v>3</v>
      </c>
      <c r="D5" s="3" t="s">
        <v>4</v>
      </c>
      <c r="E5" s="3" t="s">
        <v>5</v>
      </c>
      <c r="G5" s="3" t="s">
        <v>6</v>
      </c>
      <c r="H5" s="3" t="s">
        <v>7</v>
      </c>
    </row>
    <row r="6" customFormat="false" ht="22.05" hidden="false" customHeight="false" outlineLevel="0" collapsed="false">
      <c r="B6" s="4" t="n">
        <f aca="false">COUNTA(BD_REVIT!$A$6:$A$466)</f>
        <v>461</v>
      </c>
      <c r="C6" s="4" t="n">
        <f aca="false">COUNTIF(BD_REVIT!$M$6:$M$466,"ASIGNADO")</f>
        <v>461</v>
      </c>
      <c r="D6" s="4" t="n">
        <f aca="false">COUNTIF(BD_REVIT!$M$6:$M$466,"SIN ASIGNAR")</f>
        <v>0</v>
      </c>
      <c r="E6" s="5" t="n">
        <f aca="false">IFERROR(C6/B6,0)</f>
        <v>1</v>
      </c>
      <c r="G6" s="4" t="n">
        <f aca="false">COUNTIF('CRUCE RCI'!Z6:Z122,"&gt;0")</f>
        <v>65</v>
      </c>
      <c r="H6" s="4" t="n">
        <f aca="false">SUMPRODUCT(--(COUNTIF(BD_REVIT!$F$6:$F$466,LISTAS!$D$2:$D$22)&gt;0))</f>
        <v>21</v>
      </c>
    </row>
    <row r="9" customFormat="false" ht="15" hidden="false" customHeight="false" outlineLevel="0" collapsed="false">
      <c r="B9" s="6" t="s">
        <v>8</v>
      </c>
      <c r="G9" s="6" t="s">
        <v>9</v>
      </c>
    </row>
    <row r="10" customFormat="false" ht="15" hidden="false" customHeight="false" outlineLevel="0" collapsed="false">
      <c r="B10" s="7" t="s">
        <v>10</v>
      </c>
      <c r="C10" s="8" t="s">
        <v>11</v>
      </c>
      <c r="G10" s="9" t="s">
        <v>12</v>
      </c>
      <c r="H10" s="9" t="s">
        <v>13</v>
      </c>
      <c r="I10" s="9" t="s">
        <v>3</v>
      </c>
      <c r="J10" s="9" t="s">
        <v>4</v>
      </c>
    </row>
    <row r="11" customFormat="false" ht="15" hidden="false" customHeight="false" outlineLevel="0" collapsed="false">
      <c r="B11" s="7" t="s">
        <v>14</v>
      </c>
      <c r="C11" s="6" t="str">
        <f aca="false">IFERROR(INDEX(LISTAS!$B:$B,MATCH($C$10,LISTAS!$A:$A,0)),"")</f>
        <v>Tubería A.C. Sche 10 De ø1 1/2"</v>
      </c>
      <c r="G11" s="10" t="s">
        <v>15</v>
      </c>
      <c r="H11" s="10" t="n">
        <f aca="false">COUNTIF(BD_REVIT!$B$6:$B$466,G11)</f>
        <v>33</v>
      </c>
      <c r="I11" s="10" t="n">
        <f aca="false">COUNTIFS(BD_REVIT!$B$6:$B$466,G11,BD_REVIT!$M$6:$M$466,"ASIGNADO")</f>
        <v>33</v>
      </c>
      <c r="J11" s="11" t="n">
        <f aca="false">H11-I11</f>
        <v>0</v>
      </c>
    </row>
    <row r="12" customFormat="false" ht="15" hidden="false" customHeight="false" outlineLevel="0" collapsed="false">
      <c r="B12" s="7" t="s">
        <v>16</v>
      </c>
      <c r="C12" s="6" t="str">
        <f aca="false">IFERROR(INDEX(LISTAS!$C:$C,MATCH($C$10,LISTAS!$A:$A,0)),"")</f>
        <v>Ml.</v>
      </c>
      <c r="G12" s="10" t="s">
        <v>17</v>
      </c>
      <c r="H12" s="10" t="n">
        <f aca="false">COUNTIF(BD_REVIT!$B$6:$B$466,G12)</f>
        <v>3</v>
      </c>
      <c r="I12" s="10" t="n">
        <f aca="false">COUNTIFS(BD_REVIT!$B$6:$B$466,G12,BD_REVIT!$M$6:$M$466,"ASIGNADO")</f>
        <v>3</v>
      </c>
      <c r="J12" s="11" t="n">
        <f aca="false">H12-I12</f>
        <v>0</v>
      </c>
    </row>
    <row r="13" customFormat="false" ht="15" hidden="false" customHeight="false" outlineLevel="0" collapsed="false">
      <c r="B13" s="7" t="s">
        <v>18</v>
      </c>
      <c r="C13" s="12" t="n">
        <f aca="false">SUMIFS(BD_REVIT!$H:$H,BD_REVIT!$C:$C,$C$10)</f>
        <v>945.16</v>
      </c>
      <c r="G13" s="10" t="s">
        <v>19</v>
      </c>
      <c r="H13" s="10" t="n">
        <f aca="false">COUNTIF(BD_REVIT!$B$6:$B$466,G13)</f>
        <v>6</v>
      </c>
      <c r="I13" s="10" t="n">
        <f aca="false">COUNTIFS(BD_REVIT!$B$6:$B$466,G13,BD_REVIT!$M$6:$M$466,"ASIGNADO")</f>
        <v>6</v>
      </c>
      <c r="J13" s="11" t="n">
        <f aca="false">H13-I13</f>
        <v>0</v>
      </c>
    </row>
    <row r="14" customFormat="false" ht="15" hidden="false" customHeight="false" outlineLevel="0" collapsed="false">
      <c r="B14" s="7" t="s">
        <v>2</v>
      </c>
      <c r="C14" s="6" t="n">
        <f aca="false">COUNTIF(BD_REVIT!$C:$C,$C$10)</f>
        <v>40</v>
      </c>
      <c r="G14" s="10" t="s">
        <v>20</v>
      </c>
      <c r="H14" s="10" t="n">
        <f aca="false">COUNTIF(BD_REVIT!$B$6:$B$466,G14)</f>
        <v>53</v>
      </c>
      <c r="I14" s="10" t="n">
        <f aca="false">COUNTIFS(BD_REVIT!$B$6:$B$466,G14,BD_REVIT!$M$6:$M$466,"ASIGNADO")</f>
        <v>53</v>
      </c>
      <c r="J14" s="11" t="n">
        <f aca="false">H14-I14</f>
        <v>0</v>
      </c>
    </row>
    <row r="15" customFormat="false" ht="15" hidden="false" customHeight="false" outlineLevel="0" collapsed="false">
      <c r="G15" s="10" t="s">
        <v>21</v>
      </c>
      <c r="H15" s="10" t="n">
        <f aca="false">COUNTIF(BD_REVIT!$B$6:$B$466,G15)</f>
        <v>94</v>
      </c>
      <c r="I15" s="10" t="n">
        <f aca="false">COUNTIFS(BD_REVIT!$B$6:$B$466,G15,BD_REVIT!$M$6:$M$466,"ASIGNADO")</f>
        <v>94</v>
      </c>
      <c r="J15" s="11" t="n">
        <f aca="false">H15-I15</f>
        <v>0</v>
      </c>
    </row>
    <row r="16" customFormat="false" ht="23.85" hidden="false" customHeight="false" outlineLevel="0" collapsed="false">
      <c r="B16" s="9" t="s">
        <v>22</v>
      </c>
      <c r="C16" s="9" t="s">
        <v>23</v>
      </c>
      <c r="D16" s="9" t="s">
        <v>24</v>
      </c>
      <c r="G16" s="10" t="s">
        <v>25</v>
      </c>
      <c r="H16" s="10" t="n">
        <f aca="false">COUNTIF(BD_REVIT!$B$6:$B$466,G16)</f>
        <v>272</v>
      </c>
      <c r="I16" s="10" t="n">
        <f aca="false">COUNTIFS(BD_REVIT!$B$6:$B$466,G16,BD_REVIT!$M$6:$M$466,"ASIGNADO")</f>
        <v>272</v>
      </c>
      <c r="J16" s="11" t="n">
        <f aca="false">H16-I16</f>
        <v>0</v>
      </c>
    </row>
    <row r="17" customFormat="false" ht="15" hidden="false" customHeight="false" outlineLevel="0" collapsed="false">
      <c r="B17" s="10" t="s">
        <v>26</v>
      </c>
      <c r="C17" s="13" t="n">
        <f aca="false">SUMIFS(BD_REVIT!$H:$H,BD_REVIT!$C:$C,$C$10,BD_REVIT!$F:$F,LISTAS!$D$2)</f>
        <v>1.98</v>
      </c>
      <c r="D17" s="14" t="n">
        <f aca="false">COUNTIF(BD_REVIT!$F:$F,LISTAS!$D$2)</f>
        <v>46</v>
      </c>
      <c r="G17" s="15" t="s">
        <v>27</v>
      </c>
      <c r="H17" s="15" t="n">
        <f aca="false">SUM(H11:H16)</f>
        <v>461</v>
      </c>
      <c r="I17" s="15" t="n">
        <f aca="false">SUM(I11:I16)</f>
        <v>461</v>
      </c>
      <c r="J17" s="15" t="n">
        <f aca="false">SUM(J11:J16)</f>
        <v>0</v>
      </c>
    </row>
    <row r="18" customFormat="false" ht="15" hidden="false" customHeight="false" outlineLevel="0" collapsed="false">
      <c r="B18" s="10" t="s">
        <v>28</v>
      </c>
      <c r="C18" s="13" t="n">
        <f aca="false">SUMIFS(BD_REVIT!$H:$H,BD_REVIT!$C:$C,$C$10,BD_REVIT!$F:$F,LISTAS!$D$3)</f>
        <v>31.36</v>
      </c>
      <c r="D18" s="14" t="n">
        <f aca="false">COUNTIF(BD_REVIT!$F:$F,LISTAS!$D$3)</f>
        <v>17</v>
      </c>
    </row>
    <row r="19" customFormat="false" ht="15" hidden="false" customHeight="false" outlineLevel="0" collapsed="false">
      <c r="B19" s="10" t="s">
        <v>29</v>
      </c>
      <c r="C19" s="13" t="n">
        <f aca="false">SUMIFS(BD_REVIT!$H:$H,BD_REVIT!$C:$C,$C$10,BD_REVIT!$F:$F,LISTAS!$D$4)</f>
        <v>161.86</v>
      </c>
      <c r="D19" s="14" t="n">
        <f aca="false">COUNTIF(BD_REVIT!$F:$F,LISTAS!$D$4)</f>
        <v>32</v>
      </c>
    </row>
    <row r="20" customFormat="false" ht="15" hidden="false" customHeight="false" outlineLevel="0" collapsed="false">
      <c r="B20" s="10" t="s">
        <v>30</v>
      </c>
      <c r="C20" s="13" t="n">
        <f aca="false">SUMIFS(BD_REVIT!$H:$H,BD_REVIT!$C:$C,$C$10,BD_REVIT!$F:$F,LISTAS!$D$5)</f>
        <v>193.88</v>
      </c>
      <c r="D20" s="14" t="n">
        <f aca="false">COUNTIF(BD_REVIT!$F:$F,LISTAS!$D$5)</f>
        <v>35</v>
      </c>
    </row>
    <row r="21" customFormat="false" ht="15" hidden="false" customHeight="false" outlineLevel="0" collapsed="false">
      <c r="B21" s="10" t="s">
        <v>31</v>
      </c>
      <c r="C21" s="13" t="n">
        <f aca="false">SUMIFS(BD_REVIT!$H:$H,BD_REVIT!$C:$C,$C$10,BD_REVIT!$F:$F,LISTAS!$D$6)</f>
        <v>160.93</v>
      </c>
      <c r="D21" s="14" t="n">
        <f aca="false">COUNTIF(BD_REVIT!$F:$F,LISTAS!$D$6)</f>
        <v>32</v>
      </c>
    </row>
    <row r="22" customFormat="false" ht="15" hidden="false" customHeight="false" outlineLevel="0" collapsed="false">
      <c r="B22" s="10" t="s">
        <v>32</v>
      </c>
      <c r="C22" s="13" t="n">
        <f aca="false">SUMIFS(BD_REVIT!$H:$H,BD_REVIT!$C:$C,$C$10,BD_REVIT!$F:$F,LISTAS!$D$7)</f>
        <v>59.51</v>
      </c>
      <c r="D22" s="14" t="n">
        <f aca="false">COUNTIF(BD_REVIT!$F:$F,LISTAS!$D$7)</f>
        <v>37</v>
      </c>
    </row>
    <row r="23" customFormat="false" ht="15" hidden="false" customHeight="false" outlineLevel="0" collapsed="false">
      <c r="B23" s="10" t="s">
        <v>33</v>
      </c>
      <c r="C23" s="13" t="n">
        <f aca="false">SUMIFS(BD_REVIT!$H:$H,BD_REVIT!$C:$C,$C$10,BD_REVIT!$F:$F,LISTAS!$D$8)</f>
        <v>74.8</v>
      </c>
      <c r="D23" s="14" t="n">
        <f aca="false">COUNTIF(BD_REVIT!$F:$F,LISTAS!$D$8)</f>
        <v>58</v>
      </c>
    </row>
    <row r="24" customFormat="false" ht="15" hidden="false" customHeight="false" outlineLevel="0" collapsed="false">
      <c r="B24" s="10" t="s">
        <v>34</v>
      </c>
      <c r="C24" s="13" t="n">
        <f aca="false">SUMIFS(BD_REVIT!$H:$H,BD_REVIT!$C:$C,$C$10,BD_REVIT!$F:$F,LISTAS!$D$9)</f>
        <v>17.36</v>
      </c>
      <c r="D24" s="14" t="n">
        <f aca="false">COUNTIF(BD_REVIT!$F:$F,LISTAS!$D$9)</f>
        <v>44</v>
      </c>
    </row>
    <row r="25" customFormat="false" ht="15" hidden="false" customHeight="false" outlineLevel="0" collapsed="false">
      <c r="B25" s="10" t="s">
        <v>35</v>
      </c>
      <c r="C25" s="13" t="n">
        <f aca="false">SUMIFS(BD_REVIT!$H:$H,BD_REVIT!$C:$C,$C$10,BD_REVIT!$F:$F,LISTAS!$D$10)</f>
        <v>19.32</v>
      </c>
      <c r="D25" s="14" t="n">
        <f aca="false">COUNTIF(BD_REVIT!$F:$F,LISTAS!$D$10)</f>
        <v>11</v>
      </c>
    </row>
    <row r="26" customFormat="false" ht="15" hidden="false" customHeight="false" outlineLevel="0" collapsed="false">
      <c r="B26" s="10" t="s">
        <v>36</v>
      </c>
      <c r="C26" s="13" t="n">
        <f aca="false">SUMIFS(BD_REVIT!$H:$H,BD_REVIT!$C:$C,$C$10,BD_REVIT!$F:$F,LISTAS!$D$11)</f>
        <v>19.32</v>
      </c>
      <c r="D26" s="14" t="n">
        <f aca="false">COUNTIF(BD_REVIT!$F:$F,LISTAS!$D$11)</f>
        <v>13</v>
      </c>
    </row>
    <row r="27" customFormat="false" ht="15" hidden="false" customHeight="false" outlineLevel="0" collapsed="false">
      <c r="B27" s="10" t="s">
        <v>37</v>
      </c>
      <c r="C27" s="13" t="n">
        <f aca="false">SUMIFS(BD_REVIT!$H:$H,BD_REVIT!$C:$C,$C$10,BD_REVIT!$F:$F,LISTAS!$D$12)</f>
        <v>19.32</v>
      </c>
      <c r="D27" s="14" t="n">
        <f aca="false">COUNTIF(BD_REVIT!$F:$F,LISTAS!$D$12)</f>
        <v>11</v>
      </c>
    </row>
    <row r="28" customFormat="false" ht="15" hidden="false" customHeight="false" outlineLevel="0" collapsed="false">
      <c r="B28" s="10" t="s">
        <v>38</v>
      </c>
      <c r="C28" s="13" t="n">
        <f aca="false">SUMIFS(BD_REVIT!$H:$H,BD_REVIT!$C:$C,$C$10,BD_REVIT!$F:$F,LISTAS!$D$13)</f>
        <v>19.32</v>
      </c>
      <c r="D28" s="14" t="n">
        <f aca="false">COUNTIF(BD_REVIT!$F:$F,LISTAS!$D$13)</f>
        <v>11</v>
      </c>
    </row>
    <row r="29" customFormat="false" ht="15" hidden="false" customHeight="false" outlineLevel="0" collapsed="false">
      <c r="B29" s="10" t="s">
        <v>39</v>
      </c>
      <c r="C29" s="13" t="n">
        <f aca="false">SUMIFS(BD_REVIT!$H:$H,BD_REVIT!$C:$C,$C$10,BD_REVIT!$F:$F,LISTAS!$D$14)</f>
        <v>19.32</v>
      </c>
      <c r="D29" s="14" t="n">
        <f aca="false">COUNTIF(BD_REVIT!$F:$F,LISTAS!$D$14)</f>
        <v>12</v>
      </c>
    </row>
    <row r="30" customFormat="false" ht="15" hidden="false" customHeight="false" outlineLevel="0" collapsed="false">
      <c r="B30" s="10" t="s">
        <v>40</v>
      </c>
      <c r="C30" s="13" t="n">
        <f aca="false">SUMIFS(BD_REVIT!$H:$H,BD_REVIT!$C:$C,$C$10,BD_REVIT!$F:$F,LISTAS!$D$15)</f>
        <v>19.32</v>
      </c>
      <c r="D30" s="14" t="n">
        <f aca="false">COUNTIF(BD_REVIT!$F:$F,LISTAS!$D$15)</f>
        <v>11</v>
      </c>
    </row>
    <row r="31" customFormat="false" ht="15" hidden="false" customHeight="false" outlineLevel="0" collapsed="false">
      <c r="B31" s="10" t="s">
        <v>41</v>
      </c>
      <c r="C31" s="13" t="n">
        <f aca="false">SUMIFS(BD_REVIT!$H:$H,BD_REVIT!$C:$C,$C$10,BD_REVIT!$F:$F,LISTAS!$D$16)</f>
        <v>19.32</v>
      </c>
      <c r="D31" s="14" t="n">
        <f aca="false">COUNTIF(BD_REVIT!$F:$F,LISTAS!$D$16)</f>
        <v>11</v>
      </c>
    </row>
    <row r="32" customFormat="false" ht="15" hidden="false" customHeight="false" outlineLevel="0" collapsed="false">
      <c r="B32" s="10" t="s">
        <v>42</v>
      </c>
      <c r="C32" s="13" t="n">
        <f aca="false">SUMIFS(BD_REVIT!$H:$H,BD_REVIT!$C:$C,$C$10,BD_REVIT!$F:$F,LISTAS!$D$17)</f>
        <v>19.32</v>
      </c>
      <c r="D32" s="14" t="n">
        <f aca="false">COUNTIF(BD_REVIT!$F:$F,LISTAS!$D$17)</f>
        <v>12</v>
      </c>
    </row>
    <row r="33" customFormat="false" ht="15" hidden="false" customHeight="false" outlineLevel="0" collapsed="false">
      <c r="B33" s="10" t="s">
        <v>43</v>
      </c>
      <c r="C33" s="13" t="n">
        <f aca="false">SUMIFS(BD_REVIT!$H:$H,BD_REVIT!$C:$C,$C$10,BD_REVIT!$F:$F,LISTAS!$D$18)</f>
        <v>19.32</v>
      </c>
      <c r="D33" s="14" t="n">
        <f aca="false">COUNTIF(BD_REVIT!$F:$F,LISTAS!$D$18)</f>
        <v>11</v>
      </c>
    </row>
    <row r="34" customFormat="false" ht="15" hidden="false" customHeight="false" outlineLevel="0" collapsed="false">
      <c r="B34" s="10" t="s">
        <v>44</v>
      </c>
      <c r="C34" s="13" t="n">
        <f aca="false">SUMIFS(BD_REVIT!$H:$H,BD_REVIT!$C:$C,$C$10,BD_REVIT!$F:$F,LISTAS!$D$19)</f>
        <v>19.32</v>
      </c>
      <c r="D34" s="14" t="n">
        <f aca="false">COUNTIF(BD_REVIT!$F:$F,LISTAS!$D$19)</f>
        <v>11</v>
      </c>
    </row>
    <row r="35" customFormat="false" ht="15" hidden="false" customHeight="false" outlineLevel="0" collapsed="false">
      <c r="B35" s="10" t="s">
        <v>45</v>
      </c>
      <c r="C35" s="13" t="n">
        <f aca="false">SUMIFS(BD_REVIT!$H:$H,BD_REVIT!$C:$C,$C$10,BD_REVIT!$F:$F,LISTAS!$D$20)</f>
        <v>19.32</v>
      </c>
      <c r="D35" s="14" t="n">
        <f aca="false">COUNTIF(BD_REVIT!$F:$F,LISTAS!$D$20)</f>
        <v>23</v>
      </c>
    </row>
    <row r="36" customFormat="false" ht="15" hidden="false" customHeight="false" outlineLevel="0" collapsed="false">
      <c r="B36" s="10" t="s">
        <v>46</v>
      </c>
      <c r="C36" s="13" t="n">
        <f aca="false">SUMIFS(BD_REVIT!$H:$H,BD_REVIT!$C:$C,$C$10,BD_REVIT!$F:$F,LISTAS!$D$21)</f>
        <v>18.65</v>
      </c>
      <c r="D36" s="14" t="n">
        <f aca="false">COUNTIF(BD_REVIT!$F:$F,LISTAS!$D$21)</f>
        <v>15</v>
      </c>
    </row>
    <row r="37" customFormat="false" ht="15" hidden="false" customHeight="false" outlineLevel="0" collapsed="false">
      <c r="B37" s="10" t="s">
        <v>47</v>
      </c>
      <c r="C37" s="13" t="n">
        <f aca="false">SUMIFS(BD_REVIT!$H:$H,BD_REVIT!$C:$C,$C$10,BD_REVIT!$F:$F,LISTAS!$D$22)</f>
        <v>12.31</v>
      </c>
      <c r="D37" s="14" t="n">
        <f aca="false">COUNTIF(BD_REVIT!$F:$F,LISTAS!$D$22)</f>
        <v>5</v>
      </c>
    </row>
  </sheetData>
  <dataValidations count="1">
    <dataValidation allowBlank="false" errorStyle="stop" operator="between" showDropDown="false" showErrorMessage="false" showInputMessage="false" sqref="C10" type="list">
      <formula1>LISTAS!$A$2:$A$118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6" width="8"/>
    <col collapsed="false" customWidth="true" hidden="false" outlineLevel="0" max="2" min="2" style="17" width="70"/>
    <col collapsed="false" customWidth="true" hidden="false" outlineLevel="0" max="3" min="3" style="18" width="8"/>
    <col collapsed="false" customWidth="true" hidden="false" outlineLevel="0" max="4" min="4" style="18" width="13"/>
    <col collapsed="false" customWidth="false" hidden="false" outlineLevel="0" max="16384" min="5" style="18" width="9"/>
  </cols>
  <sheetData>
    <row r="1" customFormat="false" ht="14.25" hidden="false" customHeight="false" outlineLevel="0" collapsed="false">
      <c r="A1" s="19"/>
      <c r="B1" s="20"/>
      <c r="C1" s="21"/>
      <c r="D1" s="21"/>
      <c r="E1" s="7"/>
    </row>
    <row r="2" customFormat="false" ht="18" hidden="false" customHeight="true" outlineLevel="0" collapsed="false">
      <c r="A2" s="19"/>
      <c r="B2" s="19"/>
      <c r="C2" s="7"/>
      <c r="D2" s="7"/>
      <c r="E2" s="7"/>
    </row>
    <row r="3" customFormat="false" ht="17.35" hidden="false" customHeight="false" outlineLevel="0" collapsed="false">
      <c r="A3" s="19"/>
      <c r="B3" s="22" t="s">
        <v>48</v>
      </c>
      <c r="C3" s="7"/>
      <c r="D3" s="7"/>
      <c r="E3" s="7"/>
    </row>
    <row r="4" customFormat="false" ht="14.25" hidden="false" customHeight="false" outlineLevel="0" collapsed="false">
      <c r="A4" s="19"/>
      <c r="B4" s="23" t="s">
        <v>49</v>
      </c>
      <c r="C4" s="7"/>
      <c r="D4" s="7"/>
      <c r="E4" s="7"/>
    </row>
    <row r="5" customFormat="false" ht="24" hidden="false" customHeight="true" outlineLevel="0" collapsed="false">
      <c r="A5" s="19"/>
      <c r="B5" s="24" t="s">
        <v>50</v>
      </c>
      <c r="C5" s="21"/>
      <c r="D5" s="21"/>
      <c r="E5" s="7"/>
    </row>
    <row r="6" s="17" customFormat="true" ht="30" hidden="false" customHeight="true" outlineLevel="0" collapsed="false">
      <c r="A6" s="25" t="s">
        <v>51</v>
      </c>
      <c r="B6" s="25" t="s">
        <v>52</v>
      </c>
      <c r="C6" s="25" t="s">
        <v>53</v>
      </c>
      <c r="D6" s="25" t="s">
        <v>54</v>
      </c>
      <c r="E6" s="25" t="s">
        <v>55</v>
      </c>
    </row>
    <row r="7" customFormat="false" ht="15" hidden="true" customHeight="true" outlineLevel="0" collapsed="false">
      <c r="A7" s="26" t="n">
        <v>1</v>
      </c>
      <c r="B7" s="27" t="s">
        <v>56</v>
      </c>
      <c r="C7" s="28"/>
      <c r="D7" s="29"/>
      <c r="E7" s="30"/>
    </row>
    <row r="8" customFormat="false" ht="14.25" hidden="true" customHeight="true" outlineLevel="0" collapsed="false">
      <c r="A8" s="31" t="s">
        <v>57</v>
      </c>
      <c r="B8" s="32" t="s">
        <v>58</v>
      </c>
      <c r="C8" s="33"/>
      <c r="D8" s="34"/>
      <c r="E8" s="15"/>
    </row>
    <row r="9" customFormat="false" ht="14.25" hidden="true" customHeight="false" outlineLevel="0" collapsed="false">
      <c r="A9" s="35" t="s">
        <v>59</v>
      </c>
      <c r="B9" s="36" t="s">
        <v>60</v>
      </c>
      <c r="C9" s="37" t="s">
        <v>61</v>
      </c>
      <c r="D9" s="38"/>
      <c r="E9" s="10"/>
    </row>
    <row r="10" customFormat="false" ht="14.25" hidden="true" customHeight="false" outlineLevel="0" collapsed="false">
      <c r="A10" s="35" t="s">
        <v>62</v>
      </c>
      <c r="B10" s="36" t="s">
        <v>63</v>
      </c>
      <c r="C10" s="37" t="s">
        <v>61</v>
      </c>
      <c r="D10" s="38"/>
      <c r="E10" s="10"/>
    </row>
    <row r="11" customFormat="false" ht="14.25" hidden="true" customHeight="false" outlineLevel="0" collapsed="false">
      <c r="A11" s="35" t="s">
        <v>64</v>
      </c>
      <c r="B11" s="36" t="s">
        <v>65</v>
      </c>
      <c r="C11" s="37" t="s">
        <v>61</v>
      </c>
      <c r="D11" s="38"/>
      <c r="E11" s="10"/>
    </row>
    <row r="12" customFormat="false" ht="14.25" hidden="true" customHeight="false" outlineLevel="0" collapsed="false">
      <c r="A12" s="35" t="s">
        <v>66</v>
      </c>
      <c r="B12" s="36" t="s">
        <v>67</v>
      </c>
      <c r="C12" s="37" t="s">
        <v>61</v>
      </c>
      <c r="D12" s="38"/>
      <c r="E12" s="10"/>
    </row>
    <row r="13" customFormat="false" ht="14.25" hidden="true" customHeight="false" outlineLevel="0" collapsed="false">
      <c r="A13" s="35" t="s">
        <v>68</v>
      </c>
      <c r="B13" s="36" t="s">
        <v>69</v>
      </c>
      <c r="C13" s="37" t="s">
        <v>61</v>
      </c>
      <c r="D13" s="38"/>
      <c r="E13" s="10"/>
    </row>
    <row r="14" customFormat="false" ht="14.25" hidden="true" customHeight="false" outlineLevel="0" collapsed="false">
      <c r="A14" s="35" t="s">
        <v>70</v>
      </c>
      <c r="B14" s="36" t="s">
        <v>71</v>
      </c>
      <c r="C14" s="37" t="s">
        <v>61</v>
      </c>
      <c r="D14" s="38"/>
      <c r="E14" s="10"/>
    </row>
    <row r="15" customFormat="false" ht="14.25" hidden="true" customHeight="false" outlineLevel="0" collapsed="false">
      <c r="A15" s="31"/>
      <c r="B15" s="32" t="s">
        <v>72</v>
      </c>
      <c r="C15" s="33"/>
      <c r="D15" s="34"/>
      <c r="E15" s="15"/>
    </row>
    <row r="16" customFormat="false" ht="14.25" hidden="true" customHeight="false" outlineLevel="0" collapsed="false">
      <c r="A16" s="35" t="s">
        <v>73</v>
      </c>
      <c r="B16" s="36" t="s">
        <v>74</v>
      </c>
      <c r="C16" s="37" t="s">
        <v>75</v>
      </c>
      <c r="D16" s="38"/>
      <c r="E16" s="10"/>
    </row>
    <row r="17" customFormat="false" ht="14.25" hidden="true" customHeight="false" outlineLevel="0" collapsed="false">
      <c r="A17" s="35" t="s">
        <v>76</v>
      </c>
      <c r="B17" s="36" t="s">
        <v>77</v>
      </c>
      <c r="C17" s="37" t="s">
        <v>75</v>
      </c>
      <c r="D17" s="38"/>
      <c r="E17" s="10"/>
    </row>
    <row r="18" customFormat="false" ht="14.25" hidden="true" customHeight="false" outlineLevel="0" collapsed="false">
      <c r="A18" s="35" t="s">
        <v>78</v>
      </c>
      <c r="B18" s="36" t="s">
        <v>79</v>
      </c>
      <c r="C18" s="37" t="s">
        <v>75</v>
      </c>
      <c r="D18" s="38"/>
      <c r="E18" s="10"/>
    </row>
    <row r="19" customFormat="false" ht="14.25" hidden="true" customHeight="false" outlineLevel="0" collapsed="false">
      <c r="A19" s="35" t="s">
        <v>80</v>
      </c>
      <c r="B19" s="36" t="s">
        <v>81</v>
      </c>
      <c r="C19" s="37" t="s">
        <v>61</v>
      </c>
      <c r="D19" s="38"/>
      <c r="E19" s="10"/>
    </row>
    <row r="20" customFormat="false" ht="14.25" hidden="true" customHeight="false" outlineLevel="0" collapsed="false">
      <c r="A20" s="35" t="s">
        <v>82</v>
      </c>
      <c r="B20" s="36" t="s">
        <v>83</v>
      </c>
      <c r="C20" s="37" t="s">
        <v>61</v>
      </c>
      <c r="D20" s="38"/>
      <c r="E20" s="10"/>
    </row>
    <row r="21" customFormat="false" ht="14.25" hidden="true" customHeight="false" outlineLevel="0" collapsed="false">
      <c r="A21" s="35" t="s">
        <v>84</v>
      </c>
      <c r="B21" s="36" t="s">
        <v>85</v>
      </c>
      <c r="C21" s="37" t="s">
        <v>61</v>
      </c>
      <c r="D21" s="38"/>
      <c r="E21" s="10"/>
    </row>
    <row r="22" customFormat="false" ht="14.25" hidden="true" customHeight="false" outlineLevel="0" collapsed="false">
      <c r="A22" s="35" t="s">
        <v>86</v>
      </c>
      <c r="B22" s="36" t="s">
        <v>87</v>
      </c>
      <c r="C22" s="37" t="s">
        <v>61</v>
      </c>
      <c r="D22" s="38"/>
      <c r="E22" s="10"/>
    </row>
    <row r="23" customFormat="false" ht="14.25" hidden="true" customHeight="false" outlineLevel="0" collapsed="false">
      <c r="A23" s="31" t="s">
        <v>57</v>
      </c>
      <c r="B23" s="32" t="s">
        <v>88</v>
      </c>
      <c r="C23" s="33"/>
      <c r="D23" s="34"/>
      <c r="E23" s="15"/>
    </row>
    <row r="24" customFormat="false" ht="14.25" hidden="true" customHeight="false" outlineLevel="0" collapsed="false">
      <c r="A24" s="35" t="s">
        <v>89</v>
      </c>
      <c r="B24" s="36" t="s">
        <v>90</v>
      </c>
      <c r="C24" s="37" t="s">
        <v>75</v>
      </c>
      <c r="D24" s="38"/>
      <c r="E24" s="10"/>
    </row>
    <row r="25" customFormat="false" ht="14.25" hidden="true" customHeight="false" outlineLevel="0" collapsed="false">
      <c r="A25" s="35" t="s">
        <v>91</v>
      </c>
      <c r="B25" s="36" t="s">
        <v>92</v>
      </c>
      <c r="C25" s="37" t="s">
        <v>75</v>
      </c>
      <c r="D25" s="38"/>
      <c r="E25" s="10"/>
    </row>
    <row r="26" customFormat="false" ht="14.25" hidden="true" customHeight="false" outlineLevel="0" collapsed="false">
      <c r="A26" s="35" t="s">
        <v>93</v>
      </c>
      <c r="B26" s="36" t="s">
        <v>94</v>
      </c>
      <c r="C26" s="37" t="s">
        <v>75</v>
      </c>
      <c r="D26" s="38"/>
      <c r="E26" s="10"/>
    </row>
    <row r="27" customFormat="false" ht="14.25" hidden="true" customHeight="false" outlineLevel="0" collapsed="false">
      <c r="A27" s="35" t="s">
        <v>95</v>
      </c>
      <c r="B27" s="36" t="s">
        <v>96</v>
      </c>
      <c r="C27" s="37" t="s">
        <v>61</v>
      </c>
      <c r="D27" s="38"/>
      <c r="E27" s="10"/>
    </row>
    <row r="28" customFormat="false" ht="14.25" hidden="true" customHeight="false" outlineLevel="0" collapsed="false">
      <c r="A28" s="35" t="s">
        <v>97</v>
      </c>
      <c r="B28" s="36" t="s">
        <v>98</v>
      </c>
      <c r="C28" s="37" t="s">
        <v>61</v>
      </c>
      <c r="D28" s="38"/>
      <c r="E28" s="10"/>
    </row>
    <row r="29" customFormat="false" ht="14.25" hidden="true" customHeight="false" outlineLevel="0" collapsed="false">
      <c r="A29" s="35" t="s">
        <v>99</v>
      </c>
      <c r="B29" s="36" t="s">
        <v>100</v>
      </c>
      <c r="C29" s="37" t="s">
        <v>61</v>
      </c>
      <c r="D29" s="38"/>
      <c r="E29" s="10"/>
    </row>
    <row r="30" customFormat="false" ht="14.25" hidden="true" customHeight="false" outlineLevel="0" collapsed="false">
      <c r="A30" s="31" t="s">
        <v>57</v>
      </c>
      <c r="B30" s="32" t="s">
        <v>101</v>
      </c>
      <c r="C30" s="33"/>
      <c r="D30" s="34"/>
      <c r="E30" s="15"/>
    </row>
    <row r="31" customFormat="false" ht="14.25" hidden="true" customHeight="false" outlineLevel="0" collapsed="false">
      <c r="A31" s="35" t="s">
        <v>102</v>
      </c>
      <c r="B31" s="36" t="s">
        <v>92</v>
      </c>
      <c r="C31" s="37" t="s">
        <v>75</v>
      </c>
      <c r="D31" s="38"/>
      <c r="E31" s="10"/>
    </row>
    <row r="32" customFormat="false" ht="14.25" hidden="true" customHeight="false" outlineLevel="0" collapsed="false">
      <c r="A32" s="35" t="s">
        <v>103</v>
      </c>
      <c r="B32" s="36" t="s">
        <v>90</v>
      </c>
      <c r="C32" s="37" t="s">
        <v>75</v>
      </c>
      <c r="D32" s="38"/>
      <c r="E32" s="10"/>
    </row>
    <row r="33" customFormat="false" ht="14.25" hidden="true" customHeight="false" outlineLevel="0" collapsed="false">
      <c r="A33" s="31" t="s">
        <v>57</v>
      </c>
      <c r="B33" s="39" t="s">
        <v>104</v>
      </c>
      <c r="C33" s="40"/>
      <c r="D33" s="34"/>
      <c r="E33" s="15"/>
    </row>
    <row r="34" customFormat="false" ht="14.25" hidden="true" customHeight="false" outlineLevel="0" collapsed="false">
      <c r="A34" s="35" t="s">
        <v>105</v>
      </c>
      <c r="B34" s="36" t="s">
        <v>106</v>
      </c>
      <c r="C34" s="37" t="s">
        <v>61</v>
      </c>
      <c r="D34" s="38"/>
      <c r="E34" s="10"/>
    </row>
    <row r="35" customFormat="false" ht="14.25" hidden="true" customHeight="false" outlineLevel="0" collapsed="false">
      <c r="A35" s="35" t="s">
        <v>107</v>
      </c>
      <c r="B35" s="36" t="s">
        <v>108</v>
      </c>
      <c r="C35" s="37" t="s">
        <v>61</v>
      </c>
      <c r="D35" s="38"/>
      <c r="E35" s="10"/>
    </row>
    <row r="36" customFormat="false" ht="14.25" hidden="true" customHeight="false" outlineLevel="0" collapsed="false">
      <c r="A36" s="31" t="s">
        <v>57</v>
      </c>
      <c r="B36" s="32" t="s">
        <v>109</v>
      </c>
      <c r="C36" s="33"/>
      <c r="D36" s="34"/>
      <c r="E36" s="15"/>
    </row>
    <row r="37" customFormat="false" ht="14.25" hidden="true" customHeight="false" outlineLevel="0" collapsed="false">
      <c r="A37" s="35" t="s">
        <v>110</v>
      </c>
      <c r="B37" s="36" t="s">
        <v>111</v>
      </c>
      <c r="C37" s="37" t="s">
        <v>112</v>
      </c>
      <c r="D37" s="38"/>
      <c r="E37" s="10"/>
    </row>
    <row r="38" customFormat="false" ht="14.25" hidden="true" customHeight="false" outlineLevel="0" collapsed="false">
      <c r="A38" s="35" t="s">
        <v>113</v>
      </c>
      <c r="B38" s="36" t="s">
        <v>114</v>
      </c>
      <c r="C38" s="37" t="s">
        <v>112</v>
      </c>
      <c r="D38" s="38"/>
      <c r="E38" s="10"/>
    </row>
    <row r="39" customFormat="false" ht="14.25" hidden="true" customHeight="false" outlineLevel="0" collapsed="false">
      <c r="A39" s="31" t="s">
        <v>57</v>
      </c>
      <c r="B39" s="32" t="s">
        <v>115</v>
      </c>
      <c r="C39" s="33"/>
      <c r="D39" s="34"/>
      <c r="E39" s="15"/>
    </row>
    <row r="40" customFormat="false" ht="14.25" hidden="true" customHeight="false" outlineLevel="0" collapsed="false">
      <c r="A40" s="35"/>
      <c r="B40" s="36" t="s">
        <v>116</v>
      </c>
      <c r="C40" s="37" t="s">
        <v>61</v>
      </c>
      <c r="D40" s="38"/>
      <c r="E40" s="10"/>
    </row>
    <row r="41" customFormat="false" ht="14.25" hidden="true" customHeight="false" outlineLevel="0" collapsed="false">
      <c r="A41" s="35"/>
      <c r="B41" s="36" t="s">
        <v>117</v>
      </c>
      <c r="C41" s="37" t="s">
        <v>61</v>
      </c>
      <c r="D41" s="38"/>
      <c r="E41" s="10"/>
    </row>
    <row r="42" customFormat="false" ht="14.25" hidden="true" customHeight="false" outlineLevel="0" collapsed="false">
      <c r="A42" s="35"/>
      <c r="B42" s="36" t="s">
        <v>118</v>
      </c>
      <c r="C42" s="37" t="s">
        <v>61</v>
      </c>
      <c r="D42" s="38"/>
      <c r="E42" s="10"/>
    </row>
    <row r="43" customFormat="false" ht="14.25" hidden="true" customHeight="false" outlineLevel="0" collapsed="false">
      <c r="A43" s="35" t="s">
        <v>119</v>
      </c>
      <c r="B43" s="36" t="s">
        <v>120</v>
      </c>
      <c r="C43" s="37" t="s">
        <v>61</v>
      </c>
      <c r="D43" s="38"/>
      <c r="E43" s="10"/>
    </row>
    <row r="44" customFormat="false" ht="14.25" hidden="true" customHeight="false" outlineLevel="0" collapsed="false">
      <c r="A44" s="35" t="s">
        <v>121</v>
      </c>
      <c r="B44" s="36" t="s">
        <v>122</v>
      </c>
      <c r="C44" s="37" t="s">
        <v>61</v>
      </c>
      <c r="D44" s="38"/>
      <c r="E44" s="10"/>
    </row>
    <row r="45" customFormat="false" ht="14.25" hidden="true" customHeight="false" outlineLevel="0" collapsed="false">
      <c r="A45" s="35" t="s">
        <v>123</v>
      </c>
      <c r="B45" s="36" t="s">
        <v>124</v>
      </c>
      <c r="C45" s="37" t="s">
        <v>61</v>
      </c>
      <c r="D45" s="38"/>
      <c r="E45" s="10"/>
    </row>
    <row r="46" customFormat="false" ht="14.25" hidden="true" customHeight="false" outlineLevel="0" collapsed="false">
      <c r="A46" s="35" t="s">
        <v>125</v>
      </c>
      <c r="B46" s="36" t="s">
        <v>126</v>
      </c>
      <c r="C46" s="37" t="s">
        <v>61</v>
      </c>
      <c r="D46" s="38"/>
      <c r="E46" s="10"/>
    </row>
    <row r="47" customFormat="false" ht="14.25" hidden="true" customHeight="false" outlineLevel="0" collapsed="false">
      <c r="A47" s="35" t="s">
        <v>127</v>
      </c>
      <c r="B47" s="36" t="s">
        <v>128</v>
      </c>
      <c r="C47" s="37" t="s">
        <v>61</v>
      </c>
      <c r="D47" s="38"/>
      <c r="E47" s="10"/>
    </row>
    <row r="48" customFormat="false" ht="14.25" hidden="true" customHeight="false" outlineLevel="0" collapsed="false">
      <c r="A48" s="35" t="s">
        <v>129</v>
      </c>
      <c r="B48" s="36" t="s">
        <v>130</v>
      </c>
      <c r="C48" s="37" t="s">
        <v>61</v>
      </c>
      <c r="D48" s="38"/>
      <c r="E48" s="10"/>
    </row>
    <row r="49" customFormat="false" ht="14.25" hidden="true" customHeight="false" outlineLevel="0" collapsed="false">
      <c r="A49" s="35" t="s">
        <v>131</v>
      </c>
      <c r="B49" s="36" t="s">
        <v>132</v>
      </c>
      <c r="C49" s="37" t="s">
        <v>61</v>
      </c>
      <c r="D49" s="38"/>
      <c r="E49" s="10"/>
    </row>
    <row r="50" customFormat="false" ht="14.25" hidden="true" customHeight="false" outlineLevel="0" collapsed="false">
      <c r="A50" s="35" t="s">
        <v>133</v>
      </c>
      <c r="B50" s="36" t="s">
        <v>134</v>
      </c>
      <c r="C50" s="37" t="s">
        <v>61</v>
      </c>
      <c r="D50" s="38"/>
      <c r="E50" s="10"/>
    </row>
    <row r="51" customFormat="false" ht="14.25" hidden="true" customHeight="false" outlineLevel="0" collapsed="false">
      <c r="A51" s="35" t="s">
        <v>135</v>
      </c>
      <c r="B51" s="36" t="s">
        <v>136</v>
      </c>
      <c r="C51" s="37" t="s">
        <v>61</v>
      </c>
      <c r="D51" s="38"/>
      <c r="E51" s="10"/>
    </row>
    <row r="52" customFormat="false" ht="14.25" hidden="true" customHeight="false" outlineLevel="0" collapsed="false">
      <c r="A52" s="35" t="s">
        <v>137</v>
      </c>
      <c r="B52" s="36" t="s">
        <v>138</v>
      </c>
      <c r="C52" s="37" t="s">
        <v>61</v>
      </c>
      <c r="D52" s="38"/>
      <c r="E52" s="10"/>
    </row>
    <row r="53" customFormat="false" ht="14.25" hidden="true" customHeight="false" outlineLevel="0" collapsed="false">
      <c r="A53" s="35" t="s">
        <v>139</v>
      </c>
      <c r="B53" s="36" t="s">
        <v>140</v>
      </c>
      <c r="C53" s="37" t="s">
        <v>61</v>
      </c>
      <c r="D53" s="38"/>
      <c r="E53" s="10"/>
    </row>
    <row r="54" customFormat="false" ht="14.25" hidden="true" customHeight="false" outlineLevel="0" collapsed="false">
      <c r="A54" s="35" t="s">
        <v>141</v>
      </c>
      <c r="B54" s="36" t="s">
        <v>142</v>
      </c>
      <c r="C54" s="37" t="s">
        <v>61</v>
      </c>
      <c r="D54" s="38"/>
      <c r="E54" s="10"/>
    </row>
    <row r="55" customFormat="false" ht="14.25" hidden="true" customHeight="false" outlineLevel="0" collapsed="false">
      <c r="A55" s="35" t="s">
        <v>143</v>
      </c>
      <c r="B55" s="36" t="s">
        <v>144</v>
      </c>
      <c r="C55" s="37" t="s">
        <v>61</v>
      </c>
      <c r="D55" s="38"/>
      <c r="E55" s="10"/>
    </row>
    <row r="56" customFormat="false" ht="14.25" hidden="true" customHeight="false" outlineLevel="0" collapsed="false">
      <c r="A56" s="35" t="s">
        <v>145</v>
      </c>
      <c r="B56" s="36" t="s">
        <v>146</v>
      </c>
      <c r="C56" s="37" t="s">
        <v>61</v>
      </c>
      <c r="D56" s="38"/>
      <c r="E56" s="10"/>
    </row>
    <row r="57" customFormat="false" ht="14.25" hidden="true" customHeight="false" outlineLevel="0" collapsed="false">
      <c r="A57" s="35" t="s">
        <v>147</v>
      </c>
      <c r="B57" s="36" t="s">
        <v>148</v>
      </c>
      <c r="C57" s="37" t="s">
        <v>61</v>
      </c>
      <c r="D57" s="38"/>
      <c r="E57" s="10"/>
    </row>
    <row r="58" customFormat="false" ht="14.25" hidden="true" customHeight="false" outlineLevel="0" collapsed="false">
      <c r="A58" s="35" t="s">
        <v>149</v>
      </c>
      <c r="B58" s="36" t="s">
        <v>150</v>
      </c>
      <c r="C58" s="37" t="s">
        <v>61</v>
      </c>
      <c r="D58" s="38"/>
      <c r="E58" s="10"/>
    </row>
    <row r="59" customFormat="false" ht="14.25" hidden="true" customHeight="false" outlineLevel="0" collapsed="false">
      <c r="A59" s="35" t="s">
        <v>151</v>
      </c>
      <c r="B59" s="36" t="s">
        <v>152</v>
      </c>
      <c r="C59" s="37" t="s">
        <v>61</v>
      </c>
      <c r="D59" s="38"/>
      <c r="E59" s="10"/>
    </row>
    <row r="60" customFormat="false" ht="14.25" hidden="true" customHeight="false" outlineLevel="0" collapsed="false">
      <c r="A60" s="35" t="s">
        <v>153</v>
      </c>
      <c r="B60" s="36" t="s">
        <v>154</v>
      </c>
      <c r="C60" s="37" t="s">
        <v>61</v>
      </c>
      <c r="D60" s="38"/>
      <c r="E60" s="10"/>
    </row>
    <row r="61" customFormat="false" ht="14.25" hidden="true" customHeight="false" outlineLevel="0" collapsed="false">
      <c r="A61" s="35" t="s">
        <v>155</v>
      </c>
      <c r="B61" s="36" t="s">
        <v>156</v>
      </c>
      <c r="C61" s="37" t="s">
        <v>61</v>
      </c>
      <c r="D61" s="38"/>
      <c r="E61" s="10"/>
    </row>
    <row r="62" customFormat="false" ht="14.25" hidden="true" customHeight="false" outlineLevel="0" collapsed="false">
      <c r="A62" s="35" t="s">
        <v>157</v>
      </c>
      <c r="B62" s="36" t="s">
        <v>158</v>
      </c>
      <c r="C62" s="37" t="s">
        <v>61</v>
      </c>
      <c r="D62" s="38"/>
      <c r="E62" s="10"/>
    </row>
    <row r="63" customFormat="false" ht="14.25" hidden="true" customHeight="false" outlineLevel="0" collapsed="false">
      <c r="A63" s="35" t="s">
        <v>159</v>
      </c>
      <c r="B63" s="36" t="s">
        <v>160</v>
      </c>
      <c r="C63" s="37" t="s">
        <v>61</v>
      </c>
      <c r="D63" s="38"/>
      <c r="E63" s="10"/>
    </row>
    <row r="64" customFormat="false" ht="14.25" hidden="true" customHeight="false" outlineLevel="0" collapsed="false">
      <c r="A64" s="35" t="s">
        <v>161</v>
      </c>
      <c r="B64" s="36" t="s">
        <v>162</v>
      </c>
      <c r="C64" s="37" t="s">
        <v>61</v>
      </c>
      <c r="D64" s="38"/>
      <c r="E64" s="10"/>
    </row>
    <row r="65" customFormat="false" ht="14.25" hidden="true" customHeight="false" outlineLevel="0" collapsed="false">
      <c r="A65" s="35" t="s">
        <v>163</v>
      </c>
      <c r="B65" s="36" t="s">
        <v>164</v>
      </c>
      <c r="C65" s="37" t="s">
        <v>61</v>
      </c>
      <c r="D65" s="38"/>
      <c r="E65" s="10"/>
    </row>
    <row r="66" customFormat="false" ht="14.25" hidden="true" customHeight="false" outlineLevel="0" collapsed="false">
      <c r="A66" s="35" t="s">
        <v>165</v>
      </c>
      <c r="B66" s="36" t="s">
        <v>166</v>
      </c>
      <c r="C66" s="37" t="s">
        <v>61</v>
      </c>
      <c r="D66" s="38"/>
      <c r="E66" s="10"/>
    </row>
    <row r="67" customFormat="false" ht="14.25" hidden="true" customHeight="false" outlineLevel="0" collapsed="false">
      <c r="A67" s="35" t="s">
        <v>167</v>
      </c>
      <c r="B67" s="36" t="s">
        <v>168</v>
      </c>
      <c r="C67" s="37" t="s">
        <v>61</v>
      </c>
      <c r="D67" s="38"/>
      <c r="E67" s="10"/>
    </row>
    <row r="68" customFormat="false" ht="14.25" hidden="true" customHeight="false" outlineLevel="0" collapsed="false">
      <c r="A68" s="35" t="s">
        <v>169</v>
      </c>
      <c r="B68" s="36" t="s">
        <v>170</v>
      </c>
      <c r="C68" s="37" t="s">
        <v>61</v>
      </c>
      <c r="D68" s="38"/>
      <c r="E68" s="10"/>
    </row>
    <row r="69" customFormat="false" ht="14.25" hidden="true" customHeight="false" outlineLevel="0" collapsed="false">
      <c r="A69" s="35" t="s">
        <v>171</v>
      </c>
      <c r="B69" s="36" t="s">
        <v>172</v>
      </c>
      <c r="C69" s="37" t="s">
        <v>61</v>
      </c>
      <c r="D69" s="38"/>
      <c r="E69" s="10"/>
    </row>
    <row r="70" customFormat="false" ht="14.25" hidden="true" customHeight="false" outlineLevel="0" collapsed="false">
      <c r="A70" s="35" t="s">
        <v>173</v>
      </c>
      <c r="B70" s="36" t="s">
        <v>174</v>
      </c>
      <c r="C70" s="37" t="s">
        <v>61</v>
      </c>
      <c r="D70" s="38"/>
      <c r="E70" s="10"/>
    </row>
    <row r="71" customFormat="false" ht="14.25" hidden="true" customHeight="false" outlineLevel="0" collapsed="false">
      <c r="A71" s="35" t="s">
        <v>175</v>
      </c>
      <c r="B71" s="36" t="s">
        <v>176</v>
      </c>
      <c r="C71" s="37" t="s">
        <v>61</v>
      </c>
      <c r="D71" s="38"/>
      <c r="E71" s="10"/>
    </row>
    <row r="72" customFormat="false" ht="14.25" hidden="true" customHeight="false" outlineLevel="0" collapsed="false">
      <c r="A72" s="35" t="s">
        <v>177</v>
      </c>
      <c r="B72" s="36" t="s">
        <v>178</v>
      </c>
      <c r="C72" s="37" t="s">
        <v>61</v>
      </c>
      <c r="D72" s="38"/>
      <c r="E72" s="10"/>
    </row>
    <row r="73" customFormat="false" ht="14.25" hidden="true" customHeight="false" outlineLevel="0" collapsed="false">
      <c r="A73" s="35" t="s">
        <v>179</v>
      </c>
      <c r="B73" s="36" t="s">
        <v>180</v>
      </c>
      <c r="C73" s="37" t="s">
        <v>61</v>
      </c>
      <c r="D73" s="38"/>
      <c r="E73" s="10"/>
    </row>
    <row r="74" customFormat="false" ht="14.25" hidden="true" customHeight="false" outlineLevel="0" collapsed="false">
      <c r="A74" s="35" t="s">
        <v>181</v>
      </c>
      <c r="B74" s="36" t="s">
        <v>182</v>
      </c>
      <c r="C74" s="37" t="s">
        <v>61</v>
      </c>
      <c r="D74" s="38"/>
      <c r="E74" s="10"/>
    </row>
    <row r="75" customFormat="false" ht="14.25" hidden="true" customHeight="false" outlineLevel="0" collapsed="false">
      <c r="A75" s="35" t="s">
        <v>183</v>
      </c>
      <c r="B75" s="36" t="s">
        <v>184</v>
      </c>
      <c r="C75" s="37" t="s">
        <v>61</v>
      </c>
      <c r="D75" s="38"/>
      <c r="E75" s="10"/>
    </row>
    <row r="76" customFormat="false" ht="14.25" hidden="true" customHeight="false" outlineLevel="0" collapsed="false">
      <c r="A76" s="35" t="s">
        <v>185</v>
      </c>
      <c r="B76" s="36" t="s">
        <v>186</v>
      </c>
      <c r="C76" s="37" t="s">
        <v>61</v>
      </c>
      <c r="D76" s="38"/>
      <c r="E76" s="10"/>
    </row>
    <row r="77" customFormat="false" ht="14.25" hidden="true" customHeight="false" outlineLevel="0" collapsed="false">
      <c r="A77" s="31" t="s">
        <v>57</v>
      </c>
      <c r="B77" s="32" t="s">
        <v>187</v>
      </c>
      <c r="C77" s="33"/>
      <c r="D77" s="34"/>
      <c r="E77" s="15"/>
    </row>
    <row r="78" customFormat="false" ht="14.25" hidden="true" customHeight="false" outlineLevel="0" collapsed="false">
      <c r="A78" s="35" t="s">
        <v>188</v>
      </c>
      <c r="B78" s="36" t="s">
        <v>189</v>
      </c>
      <c r="C78" s="37" t="s">
        <v>75</v>
      </c>
      <c r="D78" s="38"/>
      <c r="E78" s="10"/>
    </row>
    <row r="79" customFormat="false" ht="14.25" hidden="true" customHeight="false" outlineLevel="0" collapsed="false">
      <c r="A79" s="35" t="s">
        <v>190</v>
      </c>
      <c r="B79" s="36" t="s">
        <v>191</v>
      </c>
      <c r="C79" s="37" t="s">
        <v>75</v>
      </c>
      <c r="D79" s="38"/>
      <c r="E79" s="10"/>
    </row>
    <row r="80" customFormat="false" ht="14.25" hidden="true" customHeight="false" outlineLevel="0" collapsed="false">
      <c r="A80" s="35" t="s">
        <v>192</v>
      </c>
      <c r="B80" s="36" t="s">
        <v>96</v>
      </c>
      <c r="C80" s="37" t="s">
        <v>61</v>
      </c>
      <c r="D80" s="38"/>
      <c r="E80" s="10"/>
    </row>
    <row r="81" customFormat="false" ht="14.25" hidden="true" customHeight="false" outlineLevel="0" collapsed="false">
      <c r="A81" s="35" t="s">
        <v>193</v>
      </c>
      <c r="B81" s="36" t="s">
        <v>194</v>
      </c>
      <c r="C81" s="37" t="s">
        <v>61</v>
      </c>
      <c r="D81" s="38"/>
      <c r="E81" s="10"/>
    </row>
    <row r="82" customFormat="false" ht="14.25" hidden="true" customHeight="false" outlineLevel="0" collapsed="false">
      <c r="A82" s="35" t="s">
        <v>195</v>
      </c>
      <c r="B82" s="36" t="s">
        <v>196</v>
      </c>
      <c r="C82" s="37" t="s">
        <v>61</v>
      </c>
      <c r="D82" s="38"/>
      <c r="E82" s="10"/>
    </row>
    <row r="83" customFormat="false" ht="14.25" hidden="true" customHeight="false" outlineLevel="0" collapsed="false">
      <c r="A83" s="35" t="s">
        <v>197</v>
      </c>
      <c r="B83" s="36" t="s">
        <v>198</v>
      </c>
      <c r="C83" s="37" t="s">
        <v>61</v>
      </c>
      <c r="D83" s="38"/>
      <c r="E83" s="10"/>
    </row>
    <row r="84" customFormat="false" ht="14.25" hidden="true" customHeight="false" outlineLevel="0" collapsed="false">
      <c r="A84" s="35" t="s">
        <v>199</v>
      </c>
      <c r="B84" s="36" t="s">
        <v>111</v>
      </c>
      <c r="C84" s="37" t="s">
        <v>112</v>
      </c>
      <c r="D84" s="38"/>
      <c r="E84" s="10"/>
    </row>
    <row r="85" customFormat="false" ht="14.25" hidden="true" customHeight="false" outlineLevel="0" collapsed="false">
      <c r="A85" s="35" t="s">
        <v>200</v>
      </c>
      <c r="B85" s="36" t="s">
        <v>114</v>
      </c>
      <c r="C85" s="37" t="s">
        <v>112</v>
      </c>
      <c r="D85" s="38"/>
      <c r="E85" s="10"/>
    </row>
    <row r="86" customFormat="false" ht="14.25" hidden="true" customHeight="false" outlineLevel="0" collapsed="false">
      <c r="A86" s="31" t="s">
        <v>57</v>
      </c>
      <c r="B86" s="32" t="s">
        <v>201</v>
      </c>
      <c r="C86" s="33"/>
      <c r="D86" s="34"/>
      <c r="E86" s="15"/>
    </row>
    <row r="87" customFormat="false" ht="57" hidden="true" customHeight="true" outlineLevel="0" collapsed="false">
      <c r="A87" s="35" t="s">
        <v>202</v>
      </c>
      <c r="B87" s="36" t="s">
        <v>203</v>
      </c>
      <c r="C87" s="37" t="s">
        <v>61</v>
      </c>
      <c r="D87" s="38"/>
      <c r="E87" s="10"/>
    </row>
    <row r="88" customFormat="false" ht="14.25" hidden="true" customHeight="false" outlineLevel="0" collapsed="false">
      <c r="A88" s="26" t="n">
        <v>2</v>
      </c>
      <c r="B88" s="27" t="s">
        <v>204</v>
      </c>
      <c r="C88" s="28"/>
      <c r="D88" s="41"/>
      <c r="E88" s="30"/>
    </row>
    <row r="89" customFormat="false" ht="14.25" hidden="true" customHeight="false" outlineLevel="0" collapsed="false">
      <c r="A89" s="31" t="s">
        <v>57</v>
      </c>
      <c r="B89" s="32" t="s">
        <v>58</v>
      </c>
      <c r="C89" s="33"/>
      <c r="D89" s="34"/>
      <c r="E89" s="15"/>
    </row>
    <row r="90" customFormat="false" ht="14.25" hidden="true" customHeight="false" outlineLevel="0" collapsed="false">
      <c r="A90" s="35" t="s">
        <v>205</v>
      </c>
      <c r="B90" s="36" t="s">
        <v>206</v>
      </c>
      <c r="C90" s="37" t="s">
        <v>61</v>
      </c>
      <c r="D90" s="38"/>
      <c r="E90" s="10"/>
    </row>
    <row r="91" customFormat="false" ht="14.25" hidden="true" customHeight="false" outlineLevel="0" collapsed="false">
      <c r="A91" s="35" t="s">
        <v>207</v>
      </c>
      <c r="B91" s="36" t="s">
        <v>208</v>
      </c>
      <c r="C91" s="37" t="s">
        <v>61</v>
      </c>
      <c r="D91" s="38"/>
      <c r="E91" s="10"/>
    </row>
    <row r="92" customFormat="false" ht="14.25" hidden="true" customHeight="false" outlineLevel="0" collapsed="false">
      <c r="A92" s="35" t="s">
        <v>209</v>
      </c>
      <c r="B92" s="36" t="s">
        <v>210</v>
      </c>
      <c r="C92" s="37" t="s">
        <v>61</v>
      </c>
      <c r="D92" s="38"/>
      <c r="E92" s="10"/>
    </row>
    <row r="93" customFormat="false" ht="14.25" hidden="true" customHeight="false" outlineLevel="0" collapsed="false">
      <c r="A93" s="35" t="s">
        <v>211</v>
      </c>
      <c r="B93" s="36" t="s">
        <v>212</v>
      </c>
      <c r="C93" s="37" t="s">
        <v>61</v>
      </c>
      <c r="D93" s="38"/>
      <c r="E93" s="10"/>
    </row>
    <row r="94" customFormat="false" ht="14.25" hidden="true" customHeight="false" outlineLevel="0" collapsed="false">
      <c r="A94" s="35" t="s">
        <v>213</v>
      </c>
      <c r="B94" s="36" t="s">
        <v>214</v>
      </c>
      <c r="C94" s="37" t="s">
        <v>61</v>
      </c>
      <c r="D94" s="38"/>
      <c r="E94" s="10"/>
    </row>
    <row r="95" customFormat="false" ht="14.25" hidden="true" customHeight="false" outlineLevel="0" collapsed="false">
      <c r="A95" s="35" t="s">
        <v>215</v>
      </c>
      <c r="B95" s="36" t="s">
        <v>216</v>
      </c>
      <c r="C95" s="37" t="s">
        <v>61</v>
      </c>
      <c r="D95" s="38"/>
      <c r="E95" s="10"/>
    </row>
    <row r="96" customFormat="false" ht="14.25" hidden="true" customHeight="false" outlineLevel="0" collapsed="false">
      <c r="A96" s="35" t="s">
        <v>217</v>
      </c>
      <c r="B96" s="36" t="s">
        <v>218</v>
      </c>
      <c r="C96" s="37" t="s">
        <v>61</v>
      </c>
      <c r="D96" s="38"/>
      <c r="E96" s="10"/>
    </row>
    <row r="97" customFormat="false" ht="14.25" hidden="true" customHeight="false" outlineLevel="0" collapsed="false">
      <c r="A97" s="35" t="s">
        <v>219</v>
      </c>
      <c r="B97" s="36" t="s">
        <v>220</v>
      </c>
      <c r="C97" s="37" t="s">
        <v>61</v>
      </c>
      <c r="D97" s="38"/>
      <c r="E97" s="10"/>
    </row>
    <row r="98" customFormat="false" ht="14.25" hidden="true" customHeight="false" outlineLevel="0" collapsed="false">
      <c r="A98" s="35" t="s">
        <v>221</v>
      </c>
      <c r="B98" s="36" t="s">
        <v>67</v>
      </c>
      <c r="C98" s="37" t="s">
        <v>61</v>
      </c>
      <c r="D98" s="38"/>
      <c r="E98" s="10"/>
    </row>
    <row r="99" customFormat="false" ht="14.25" hidden="true" customHeight="false" outlineLevel="0" collapsed="false">
      <c r="A99" s="35" t="s">
        <v>222</v>
      </c>
      <c r="B99" s="36" t="s">
        <v>71</v>
      </c>
      <c r="C99" s="37" t="s">
        <v>61</v>
      </c>
      <c r="D99" s="38"/>
      <c r="E99" s="10"/>
    </row>
    <row r="100" customFormat="false" ht="14.25" hidden="true" customHeight="false" outlineLevel="0" collapsed="false">
      <c r="A100" s="31" t="s">
        <v>57</v>
      </c>
      <c r="B100" s="32" t="s">
        <v>72</v>
      </c>
      <c r="C100" s="33"/>
      <c r="D100" s="34"/>
      <c r="E100" s="15"/>
    </row>
    <row r="101" customFormat="false" ht="14.25" hidden="true" customHeight="false" outlineLevel="0" collapsed="false">
      <c r="A101" s="35" t="s">
        <v>223</v>
      </c>
      <c r="B101" s="36" t="s">
        <v>94</v>
      </c>
      <c r="C101" s="37" t="s">
        <v>75</v>
      </c>
      <c r="D101" s="38"/>
      <c r="E101" s="10"/>
    </row>
    <row r="102" customFormat="false" ht="14.25" hidden="true" customHeight="false" outlineLevel="0" collapsed="false">
      <c r="A102" s="35" t="s">
        <v>224</v>
      </c>
      <c r="B102" s="36" t="s">
        <v>90</v>
      </c>
      <c r="C102" s="37" t="s">
        <v>75</v>
      </c>
      <c r="D102" s="38"/>
      <c r="E102" s="10"/>
    </row>
    <row r="103" customFormat="false" ht="14.25" hidden="true" customHeight="false" outlineLevel="0" collapsed="false">
      <c r="A103" s="35" t="s">
        <v>225</v>
      </c>
      <c r="B103" s="36" t="s">
        <v>226</v>
      </c>
      <c r="C103" s="37" t="s">
        <v>75</v>
      </c>
      <c r="D103" s="38"/>
      <c r="E103" s="10"/>
    </row>
    <row r="104" customFormat="false" ht="14.25" hidden="true" customHeight="false" outlineLevel="0" collapsed="false">
      <c r="A104" s="35" t="s">
        <v>227</v>
      </c>
      <c r="B104" s="36" t="s">
        <v>228</v>
      </c>
      <c r="C104" s="37" t="s">
        <v>75</v>
      </c>
      <c r="D104" s="38"/>
      <c r="E104" s="10"/>
    </row>
    <row r="105" customFormat="false" ht="14.25" hidden="true" customHeight="false" outlineLevel="0" collapsed="false">
      <c r="A105" s="35" t="s">
        <v>229</v>
      </c>
      <c r="B105" s="36" t="s">
        <v>81</v>
      </c>
      <c r="C105" s="37" t="s">
        <v>61</v>
      </c>
      <c r="D105" s="38"/>
      <c r="E105" s="10"/>
    </row>
    <row r="106" customFormat="false" ht="14.25" hidden="true" customHeight="false" outlineLevel="0" collapsed="false">
      <c r="A106" s="35" t="s">
        <v>230</v>
      </c>
      <c r="B106" s="36" t="s">
        <v>85</v>
      </c>
      <c r="C106" s="37" t="s">
        <v>61</v>
      </c>
      <c r="D106" s="38"/>
      <c r="E106" s="10"/>
    </row>
    <row r="107" customFormat="false" ht="14.25" hidden="true" customHeight="false" outlineLevel="0" collapsed="false">
      <c r="A107" s="35" t="s">
        <v>231</v>
      </c>
      <c r="B107" s="36" t="s">
        <v>87</v>
      </c>
      <c r="C107" s="37" t="s">
        <v>61</v>
      </c>
      <c r="D107" s="38"/>
      <c r="E107" s="10"/>
    </row>
    <row r="108" customFormat="false" ht="14.25" hidden="true" customHeight="false" outlineLevel="0" collapsed="false">
      <c r="A108" s="35" t="s">
        <v>232</v>
      </c>
      <c r="B108" s="36" t="s">
        <v>233</v>
      </c>
      <c r="C108" s="37" t="s">
        <v>61</v>
      </c>
      <c r="D108" s="38"/>
      <c r="E108" s="10"/>
    </row>
    <row r="109" customFormat="false" ht="14.25" hidden="true" customHeight="false" outlineLevel="0" collapsed="false">
      <c r="A109" s="31" t="s">
        <v>57</v>
      </c>
      <c r="B109" s="32" t="s">
        <v>101</v>
      </c>
      <c r="C109" s="33"/>
      <c r="D109" s="34"/>
      <c r="E109" s="15"/>
    </row>
    <row r="110" customFormat="false" ht="14.25" hidden="true" customHeight="false" outlineLevel="0" collapsed="false">
      <c r="A110" s="35" t="s">
        <v>234</v>
      </c>
      <c r="B110" s="36" t="s">
        <v>90</v>
      </c>
      <c r="C110" s="37" t="s">
        <v>75</v>
      </c>
      <c r="D110" s="38"/>
      <c r="E110" s="10"/>
    </row>
    <row r="111" customFormat="false" ht="14.25" hidden="true" customHeight="false" outlineLevel="0" collapsed="false">
      <c r="A111" s="35" t="s">
        <v>235</v>
      </c>
      <c r="B111" s="36" t="s">
        <v>236</v>
      </c>
      <c r="C111" s="37" t="s">
        <v>75</v>
      </c>
      <c r="D111" s="38"/>
      <c r="E111" s="10"/>
    </row>
    <row r="112" customFormat="false" ht="14.25" hidden="true" customHeight="false" outlineLevel="0" collapsed="false">
      <c r="A112" s="35" t="s">
        <v>237</v>
      </c>
      <c r="B112" s="36" t="s">
        <v>238</v>
      </c>
      <c r="C112" s="37" t="s">
        <v>75</v>
      </c>
      <c r="D112" s="38"/>
      <c r="E112" s="10"/>
    </row>
    <row r="113" customFormat="false" ht="14.25" hidden="true" customHeight="false" outlineLevel="0" collapsed="false">
      <c r="A113" s="31" t="s">
        <v>57</v>
      </c>
      <c r="B113" s="32" t="s">
        <v>239</v>
      </c>
      <c r="C113" s="33"/>
      <c r="D113" s="34"/>
      <c r="E113" s="15"/>
    </row>
    <row r="114" customFormat="false" ht="14.25" hidden="true" customHeight="false" outlineLevel="0" collapsed="false">
      <c r="A114" s="35" t="s">
        <v>240</v>
      </c>
      <c r="B114" s="36" t="s">
        <v>90</v>
      </c>
      <c r="C114" s="37" t="s">
        <v>75</v>
      </c>
      <c r="D114" s="38"/>
      <c r="E114" s="10"/>
    </row>
    <row r="115" customFormat="false" ht="14.25" hidden="true" customHeight="false" outlineLevel="0" collapsed="false">
      <c r="A115" s="35" t="s">
        <v>241</v>
      </c>
      <c r="B115" s="36" t="s">
        <v>228</v>
      </c>
      <c r="C115" s="37" t="s">
        <v>75</v>
      </c>
      <c r="D115" s="38"/>
      <c r="E115" s="10"/>
    </row>
    <row r="116" customFormat="false" ht="14.25" hidden="true" customHeight="false" outlineLevel="0" collapsed="false">
      <c r="A116" s="35" t="s">
        <v>242</v>
      </c>
      <c r="B116" s="36" t="s">
        <v>243</v>
      </c>
      <c r="C116" s="37" t="s">
        <v>61</v>
      </c>
      <c r="D116" s="38"/>
      <c r="E116" s="10"/>
    </row>
    <row r="117" customFormat="false" ht="14.25" hidden="true" customHeight="false" outlineLevel="0" collapsed="false">
      <c r="A117" s="35" t="s">
        <v>244</v>
      </c>
      <c r="B117" s="36" t="s">
        <v>96</v>
      </c>
      <c r="C117" s="37" t="s">
        <v>61</v>
      </c>
      <c r="D117" s="38"/>
      <c r="E117" s="10"/>
    </row>
    <row r="118" customFormat="false" ht="14.25" hidden="true" customHeight="false" outlineLevel="0" collapsed="false">
      <c r="A118" s="31" t="s">
        <v>57</v>
      </c>
      <c r="B118" s="32" t="s">
        <v>245</v>
      </c>
      <c r="C118" s="33"/>
      <c r="D118" s="34"/>
      <c r="E118" s="15"/>
    </row>
    <row r="119" customFormat="false" ht="14.25" hidden="true" customHeight="false" outlineLevel="0" collapsed="false">
      <c r="A119" s="35" t="s">
        <v>246</v>
      </c>
      <c r="B119" s="36" t="s">
        <v>247</v>
      </c>
      <c r="C119" s="37" t="s">
        <v>61</v>
      </c>
      <c r="D119" s="38"/>
      <c r="E119" s="10"/>
    </row>
    <row r="120" customFormat="false" ht="14.25" hidden="true" customHeight="false" outlineLevel="0" collapsed="false">
      <c r="A120" s="31" t="s">
        <v>57</v>
      </c>
      <c r="B120" s="32" t="s">
        <v>109</v>
      </c>
      <c r="C120" s="33"/>
      <c r="D120" s="34"/>
      <c r="E120" s="15"/>
    </row>
    <row r="121" customFormat="false" ht="14.25" hidden="true" customHeight="false" outlineLevel="0" collapsed="false">
      <c r="A121" s="35" t="s">
        <v>248</v>
      </c>
      <c r="B121" s="36" t="s">
        <v>111</v>
      </c>
      <c r="C121" s="37" t="s">
        <v>112</v>
      </c>
      <c r="D121" s="38"/>
      <c r="E121" s="10"/>
    </row>
    <row r="122" customFormat="false" ht="14.25" hidden="true" customHeight="false" outlineLevel="0" collapsed="false">
      <c r="A122" s="35" t="s">
        <v>249</v>
      </c>
      <c r="B122" s="36" t="s">
        <v>114</v>
      </c>
      <c r="C122" s="37" t="s">
        <v>112</v>
      </c>
      <c r="D122" s="38"/>
      <c r="E122" s="10"/>
    </row>
    <row r="123" customFormat="false" ht="14.25" hidden="true" customHeight="false" outlineLevel="0" collapsed="false">
      <c r="A123" s="31" t="s">
        <v>57</v>
      </c>
      <c r="B123" s="32" t="s">
        <v>250</v>
      </c>
      <c r="C123" s="33"/>
      <c r="D123" s="34"/>
      <c r="E123" s="15"/>
    </row>
    <row r="124" customFormat="false" ht="14.25" hidden="true" customHeight="false" outlineLevel="0" collapsed="false">
      <c r="A124" s="35" t="s">
        <v>251</v>
      </c>
      <c r="B124" s="36" t="s">
        <v>252</v>
      </c>
      <c r="C124" s="37" t="s">
        <v>61</v>
      </c>
      <c r="D124" s="38"/>
      <c r="E124" s="10"/>
    </row>
    <row r="125" customFormat="false" ht="14.25" hidden="true" customHeight="false" outlineLevel="0" collapsed="false">
      <c r="A125" s="31" t="s">
        <v>57</v>
      </c>
      <c r="B125" s="32" t="s">
        <v>115</v>
      </c>
      <c r="C125" s="33"/>
      <c r="D125" s="34"/>
      <c r="E125" s="15"/>
    </row>
    <row r="126" customFormat="false" ht="14.25" hidden="true" customHeight="false" outlineLevel="0" collapsed="false">
      <c r="A126" s="35" t="s">
        <v>253</v>
      </c>
      <c r="B126" s="36" t="s">
        <v>116</v>
      </c>
      <c r="C126" s="37" t="s">
        <v>61</v>
      </c>
      <c r="D126" s="38"/>
      <c r="E126" s="10"/>
    </row>
    <row r="127" customFormat="false" ht="14.25" hidden="true" customHeight="false" outlineLevel="0" collapsed="false">
      <c r="A127" s="35" t="s">
        <v>254</v>
      </c>
      <c r="B127" s="36" t="s">
        <v>118</v>
      </c>
      <c r="C127" s="37" t="s">
        <v>61</v>
      </c>
      <c r="D127" s="38"/>
      <c r="E127" s="10"/>
    </row>
    <row r="128" customFormat="false" ht="14.25" hidden="true" customHeight="false" outlineLevel="0" collapsed="false">
      <c r="A128" s="35" t="s">
        <v>255</v>
      </c>
      <c r="B128" s="36" t="s">
        <v>256</v>
      </c>
      <c r="C128" s="37" t="s">
        <v>61</v>
      </c>
      <c r="D128" s="38"/>
      <c r="E128" s="10"/>
    </row>
    <row r="129" customFormat="false" ht="14.25" hidden="true" customHeight="false" outlineLevel="0" collapsed="false">
      <c r="A129" s="35" t="s">
        <v>257</v>
      </c>
      <c r="B129" s="36" t="s">
        <v>258</v>
      </c>
      <c r="C129" s="37" t="s">
        <v>61</v>
      </c>
      <c r="D129" s="38"/>
      <c r="E129" s="10"/>
    </row>
    <row r="130" customFormat="false" ht="14.25" hidden="true" customHeight="false" outlineLevel="0" collapsed="false">
      <c r="A130" s="35" t="s">
        <v>259</v>
      </c>
      <c r="B130" s="36" t="s">
        <v>260</v>
      </c>
      <c r="C130" s="37" t="s">
        <v>61</v>
      </c>
      <c r="D130" s="38"/>
      <c r="E130" s="10"/>
    </row>
    <row r="131" customFormat="false" ht="14.25" hidden="true" customHeight="false" outlineLevel="0" collapsed="false">
      <c r="A131" s="35" t="s">
        <v>261</v>
      </c>
      <c r="B131" s="36" t="s">
        <v>122</v>
      </c>
      <c r="C131" s="37" t="s">
        <v>61</v>
      </c>
      <c r="D131" s="38"/>
      <c r="E131" s="10"/>
    </row>
    <row r="132" customFormat="false" ht="14.25" hidden="true" customHeight="false" outlineLevel="0" collapsed="false">
      <c r="A132" s="35" t="s">
        <v>262</v>
      </c>
      <c r="B132" s="36" t="s">
        <v>263</v>
      </c>
      <c r="C132" s="37" t="s">
        <v>61</v>
      </c>
      <c r="D132" s="38"/>
      <c r="E132" s="10"/>
    </row>
    <row r="133" customFormat="false" ht="14.25" hidden="true" customHeight="false" outlineLevel="0" collapsed="false">
      <c r="A133" s="35" t="s">
        <v>264</v>
      </c>
      <c r="B133" s="36" t="s">
        <v>265</v>
      </c>
      <c r="C133" s="37" t="s">
        <v>61</v>
      </c>
      <c r="D133" s="38"/>
      <c r="E133" s="10"/>
    </row>
    <row r="134" customFormat="false" ht="14.25" hidden="true" customHeight="false" outlineLevel="0" collapsed="false">
      <c r="A134" s="35" t="s">
        <v>266</v>
      </c>
      <c r="B134" s="36" t="s">
        <v>267</v>
      </c>
      <c r="C134" s="37" t="s">
        <v>61</v>
      </c>
      <c r="D134" s="38"/>
      <c r="E134" s="10"/>
    </row>
    <row r="135" customFormat="false" ht="14.25" hidden="true" customHeight="false" outlineLevel="0" collapsed="false">
      <c r="A135" s="35" t="s">
        <v>268</v>
      </c>
      <c r="B135" s="36" t="s">
        <v>269</v>
      </c>
      <c r="C135" s="37" t="s">
        <v>61</v>
      </c>
      <c r="D135" s="38"/>
      <c r="E135" s="10"/>
    </row>
    <row r="136" customFormat="false" ht="14.25" hidden="true" customHeight="false" outlineLevel="0" collapsed="false">
      <c r="A136" s="35" t="s">
        <v>270</v>
      </c>
      <c r="B136" s="36" t="s">
        <v>271</v>
      </c>
      <c r="C136" s="37" t="s">
        <v>61</v>
      </c>
      <c r="D136" s="38"/>
      <c r="E136" s="10"/>
    </row>
    <row r="137" customFormat="false" ht="14.25" hidden="true" customHeight="false" outlineLevel="0" collapsed="false">
      <c r="A137" s="35" t="s">
        <v>272</v>
      </c>
      <c r="B137" s="36" t="s">
        <v>124</v>
      </c>
      <c r="C137" s="37" t="s">
        <v>61</v>
      </c>
      <c r="D137" s="38"/>
      <c r="E137" s="10"/>
    </row>
    <row r="138" customFormat="false" ht="14.25" hidden="true" customHeight="false" outlineLevel="0" collapsed="false">
      <c r="A138" s="35" t="s">
        <v>273</v>
      </c>
      <c r="B138" s="36" t="s">
        <v>274</v>
      </c>
      <c r="C138" s="37" t="s">
        <v>61</v>
      </c>
      <c r="D138" s="38"/>
      <c r="E138" s="10"/>
    </row>
    <row r="139" customFormat="false" ht="14.25" hidden="true" customHeight="false" outlineLevel="0" collapsed="false">
      <c r="A139" s="35" t="s">
        <v>275</v>
      </c>
      <c r="B139" s="36" t="s">
        <v>130</v>
      </c>
      <c r="C139" s="37" t="s">
        <v>61</v>
      </c>
      <c r="D139" s="38"/>
      <c r="E139" s="10"/>
    </row>
    <row r="140" customFormat="false" ht="14.25" hidden="true" customHeight="false" outlineLevel="0" collapsed="false">
      <c r="A140" s="35" t="s">
        <v>276</v>
      </c>
      <c r="B140" s="36" t="s">
        <v>134</v>
      </c>
      <c r="C140" s="37" t="s">
        <v>61</v>
      </c>
      <c r="D140" s="38"/>
      <c r="E140" s="10"/>
    </row>
    <row r="141" customFormat="false" ht="14.25" hidden="true" customHeight="false" outlineLevel="0" collapsed="false">
      <c r="A141" s="35" t="s">
        <v>277</v>
      </c>
      <c r="B141" s="36" t="s">
        <v>278</v>
      </c>
      <c r="C141" s="37" t="s">
        <v>61</v>
      </c>
      <c r="D141" s="38"/>
      <c r="E141" s="10"/>
    </row>
    <row r="142" customFormat="false" ht="14.25" hidden="true" customHeight="false" outlineLevel="0" collapsed="false">
      <c r="A142" s="35" t="s">
        <v>279</v>
      </c>
      <c r="B142" s="36" t="s">
        <v>280</v>
      </c>
      <c r="C142" s="37" t="s">
        <v>61</v>
      </c>
      <c r="D142" s="38"/>
      <c r="E142" s="10"/>
    </row>
    <row r="143" customFormat="false" ht="14.25" hidden="true" customHeight="false" outlineLevel="0" collapsed="false">
      <c r="A143" s="35" t="s">
        <v>281</v>
      </c>
      <c r="B143" s="36" t="s">
        <v>282</v>
      </c>
      <c r="C143" s="37" t="s">
        <v>61</v>
      </c>
      <c r="D143" s="38"/>
      <c r="E143" s="10"/>
    </row>
    <row r="144" customFormat="false" ht="14.25" hidden="true" customHeight="false" outlineLevel="0" collapsed="false">
      <c r="A144" s="35" t="s">
        <v>283</v>
      </c>
      <c r="B144" s="36" t="s">
        <v>284</v>
      </c>
      <c r="C144" s="37" t="s">
        <v>61</v>
      </c>
      <c r="D144" s="38"/>
      <c r="E144" s="10"/>
    </row>
    <row r="145" customFormat="false" ht="14.25" hidden="true" customHeight="false" outlineLevel="0" collapsed="false">
      <c r="A145" s="35" t="s">
        <v>285</v>
      </c>
      <c r="B145" s="36" t="s">
        <v>286</v>
      </c>
      <c r="C145" s="37" t="s">
        <v>61</v>
      </c>
      <c r="D145" s="38"/>
      <c r="E145" s="10"/>
    </row>
    <row r="146" customFormat="false" ht="14.25" hidden="true" customHeight="false" outlineLevel="0" collapsed="false">
      <c r="A146" s="35" t="s">
        <v>287</v>
      </c>
      <c r="B146" s="36" t="s">
        <v>288</v>
      </c>
      <c r="C146" s="37" t="s">
        <v>61</v>
      </c>
      <c r="D146" s="38"/>
      <c r="E146" s="10"/>
    </row>
    <row r="147" customFormat="false" ht="14.25" hidden="true" customHeight="false" outlineLevel="0" collapsed="false">
      <c r="A147" s="35" t="s">
        <v>289</v>
      </c>
      <c r="B147" s="36" t="s">
        <v>290</v>
      </c>
      <c r="C147" s="37" t="s">
        <v>61</v>
      </c>
      <c r="D147" s="38"/>
      <c r="E147" s="10"/>
    </row>
    <row r="148" customFormat="false" ht="14.25" hidden="true" customHeight="false" outlineLevel="0" collapsed="false">
      <c r="A148" s="35" t="s">
        <v>291</v>
      </c>
      <c r="B148" s="36" t="s">
        <v>158</v>
      </c>
      <c r="C148" s="37" t="s">
        <v>61</v>
      </c>
      <c r="D148" s="38"/>
      <c r="E148" s="10"/>
    </row>
    <row r="149" customFormat="false" ht="14.25" hidden="true" customHeight="false" outlineLevel="0" collapsed="false">
      <c r="A149" s="35" t="s">
        <v>292</v>
      </c>
      <c r="B149" s="36" t="s">
        <v>293</v>
      </c>
      <c r="C149" s="37" t="s">
        <v>61</v>
      </c>
      <c r="D149" s="38"/>
      <c r="E149" s="10"/>
    </row>
    <row r="150" customFormat="false" ht="14.25" hidden="true" customHeight="false" outlineLevel="0" collapsed="false">
      <c r="A150" s="35" t="s">
        <v>294</v>
      </c>
      <c r="B150" s="36" t="s">
        <v>295</v>
      </c>
      <c r="C150" s="37" t="s">
        <v>61</v>
      </c>
      <c r="D150" s="38"/>
      <c r="E150" s="10"/>
    </row>
    <row r="151" customFormat="false" ht="14.25" hidden="true" customHeight="false" outlineLevel="0" collapsed="false">
      <c r="A151" s="35" t="s">
        <v>296</v>
      </c>
      <c r="B151" s="36" t="s">
        <v>297</v>
      </c>
      <c r="C151" s="37" t="s">
        <v>61</v>
      </c>
      <c r="D151" s="38"/>
      <c r="E151" s="10"/>
    </row>
    <row r="152" customFormat="false" ht="14.25" hidden="true" customHeight="false" outlineLevel="0" collapsed="false">
      <c r="A152" s="35" t="s">
        <v>298</v>
      </c>
      <c r="B152" s="36" t="s">
        <v>160</v>
      </c>
      <c r="C152" s="37" t="s">
        <v>61</v>
      </c>
      <c r="D152" s="38"/>
      <c r="E152" s="10"/>
    </row>
    <row r="153" customFormat="false" ht="14.25" hidden="true" customHeight="false" outlineLevel="0" collapsed="false">
      <c r="A153" s="35" t="s">
        <v>299</v>
      </c>
      <c r="B153" s="36" t="s">
        <v>164</v>
      </c>
      <c r="C153" s="37" t="s">
        <v>61</v>
      </c>
      <c r="D153" s="38"/>
      <c r="E153" s="10"/>
    </row>
    <row r="154" customFormat="false" ht="14.25" hidden="true" customHeight="false" outlineLevel="0" collapsed="false">
      <c r="A154" s="35" t="s">
        <v>300</v>
      </c>
      <c r="B154" s="36" t="s">
        <v>301</v>
      </c>
      <c r="C154" s="37" t="s">
        <v>61</v>
      </c>
      <c r="D154" s="38"/>
      <c r="E154" s="10"/>
    </row>
    <row r="155" customFormat="false" ht="14.25" hidden="true" customHeight="false" outlineLevel="0" collapsed="false">
      <c r="A155" s="35" t="s">
        <v>302</v>
      </c>
      <c r="B155" s="36" t="s">
        <v>303</v>
      </c>
      <c r="C155" s="37" t="s">
        <v>61</v>
      </c>
      <c r="D155" s="38"/>
      <c r="E155" s="10"/>
    </row>
    <row r="156" customFormat="false" ht="14.25" hidden="true" customHeight="false" outlineLevel="0" collapsed="false">
      <c r="A156" s="35" t="s">
        <v>304</v>
      </c>
      <c r="B156" s="36" t="s">
        <v>166</v>
      </c>
      <c r="C156" s="37" t="s">
        <v>61</v>
      </c>
      <c r="D156" s="38"/>
      <c r="E156" s="10"/>
    </row>
    <row r="157" customFormat="false" ht="14.25" hidden="true" customHeight="false" outlineLevel="0" collapsed="false">
      <c r="A157" s="35" t="s">
        <v>305</v>
      </c>
      <c r="B157" s="36" t="s">
        <v>174</v>
      </c>
      <c r="C157" s="37" t="s">
        <v>61</v>
      </c>
      <c r="D157" s="38"/>
      <c r="E157" s="10"/>
    </row>
    <row r="158" customFormat="false" ht="14.25" hidden="true" customHeight="false" outlineLevel="0" collapsed="false">
      <c r="A158" s="35" t="s">
        <v>306</v>
      </c>
      <c r="B158" s="36" t="s">
        <v>176</v>
      </c>
      <c r="C158" s="37" t="s">
        <v>61</v>
      </c>
      <c r="D158" s="38"/>
      <c r="E158" s="10"/>
    </row>
    <row r="159" customFormat="false" ht="14.25" hidden="true" customHeight="false" outlineLevel="0" collapsed="false">
      <c r="A159" s="35" t="s">
        <v>307</v>
      </c>
      <c r="B159" s="36" t="s">
        <v>176</v>
      </c>
      <c r="C159" s="37" t="s">
        <v>61</v>
      </c>
      <c r="D159" s="38"/>
      <c r="E159" s="10"/>
    </row>
    <row r="160" customFormat="false" ht="14.25" hidden="true" customHeight="false" outlineLevel="0" collapsed="false">
      <c r="A160" s="35" t="s">
        <v>308</v>
      </c>
      <c r="B160" s="36" t="s">
        <v>180</v>
      </c>
      <c r="C160" s="37" t="s">
        <v>61</v>
      </c>
      <c r="D160" s="38"/>
      <c r="E160" s="10"/>
    </row>
    <row r="161" customFormat="false" ht="14.25" hidden="true" customHeight="false" outlineLevel="0" collapsed="false">
      <c r="A161" s="35" t="s">
        <v>309</v>
      </c>
      <c r="B161" s="36" t="s">
        <v>310</v>
      </c>
      <c r="C161" s="37" t="s">
        <v>61</v>
      </c>
      <c r="D161" s="38"/>
      <c r="E161" s="10"/>
    </row>
    <row r="162" customFormat="false" ht="14.25" hidden="true" customHeight="false" outlineLevel="0" collapsed="false">
      <c r="A162" s="35" t="s">
        <v>311</v>
      </c>
      <c r="B162" s="36" t="s">
        <v>312</v>
      </c>
      <c r="C162" s="37" t="s">
        <v>61</v>
      </c>
      <c r="D162" s="38"/>
      <c r="E162" s="10"/>
    </row>
    <row r="163" customFormat="false" ht="14.25" hidden="true" customHeight="false" outlineLevel="0" collapsed="false">
      <c r="A163" s="35" t="s">
        <v>313</v>
      </c>
      <c r="B163" s="36" t="s">
        <v>314</v>
      </c>
      <c r="C163" s="37" t="s">
        <v>61</v>
      </c>
      <c r="D163" s="38"/>
      <c r="E163" s="10"/>
    </row>
    <row r="164" customFormat="false" ht="14.25" hidden="true" customHeight="false" outlineLevel="0" collapsed="false">
      <c r="A164" s="26" t="n">
        <v>3</v>
      </c>
      <c r="B164" s="27" t="s">
        <v>315</v>
      </c>
      <c r="C164" s="28"/>
      <c r="D164" s="41"/>
      <c r="E164" s="30"/>
    </row>
    <row r="165" customFormat="false" ht="14.25" hidden="true" customHeight="false" outlineLevel="0" collapsed="false">
      <c r="A165" s="31" t="s">
        <v>57</v>
      </c>
      <c r="B165" s="32" t="s">
        <v>58</v>
      </c>
      <c r="C165" s="33"/>
      <c r="D165" s="34"/>
      <c r="E165" s="15"/>
    </row>
    <row r="166" customFormat="false" ht="14.25" hidden="true" customHeight="false" outlineLevel="0" collapsed="false">
      <c r="A166" s="35" t="s">
        <v>316</v>
      </c>
      <c r="B166" s="36" t="s">
        <v>317</v>
      </c>
      <c r="C166" s="37" t="s">
        <v>61</v>
      </c>
      <c r="D166" s="38"/>
      <c r="E166" s="10"/>
    </row>
    <row r="167" customFormat="false" ht="14.25" hidden="true" customHeight="false" outlineLevel="0" collapsed="false">
      <c r="A167" s="35" t="s">
        <v>318</v>
      </c>
      <c r="B167" s="36" t="s">
        <v>67</v>
      </c>
      <c r="C167" s="37" t="s">
        <v>61</v>
      </c>
      <c r="D167" s="38"/>
      <c r="E167" s="10"/>
    </row>
    <row r="168" customFormat="false" ht="14.25" hidden="true" customHeight="false" outlineLevel="0" collapsed="false">
      <c r="A168" s="31" t="s">
        <v>57</v>
      </c>
      <c r="B168" s="32" t="s">
        <v>72</v>
      </c>
      <c r="C168" s="33"/>
      <c r="D168" s="34"/>
      <c r="E168" s="15"/>
    </row>
    <row r="169" customFormat="false" ht="14.25" hidden="true" customHeight="false" outlineLevel="0" collapsed="false">
      <c r="A169" s="35" t="s">
        <v>319</v>
      </c>
      <c r="B169" s="36" t="s">
        <v>320</v>
      </c>
      <c r="C169" s="37" t="s">
        <v>75</v>
      </c>
      <c r="D169" s="38"/>
      <c r="E169" s="10"/>
    </row>
    <row r="170" customFormat="false" ht="14.25" hidden="true" customHeight="false" outlineLevel="0" collapsed="false">
      <c r="A170" s="35" t="s">
        <v>321</v>
      </c>
      <c r="B170" s="36" t="s">
        <v>322</v>
      </c>
      <c r="C170" s="37" t="s">
        <v>75</v>
      </c>
      <c r="D170" s="38"/>
      <c r="E170" s="10"/>
    </row>
    <row r="171" customFormat="false" ht="14.25" hidden="true" customHeight="false" outlineLevel="0" collapsed="false">
      <c r="A171" s="35" t="s">
        <v>323</v>
      </c>
      <c r="B171" s="36" t="s">
        <v>81</v>
      </c>
      <c r="C171" s="37" t="s">
        <v>61</v>
      </c>
      <c r="D171" s="38"/>
      <c r="E171" s="10"/>
    </row>
    <row r="172" customFormat="false" ht="14.25" hidden="true" customHeight="false" outlineLevel="0" collapsed="false">
      <c r="A172" s="31" t="s">
        <v>57</v>
      </c>
      <c r="B172" s="32" t="s">
        <v>324</v>
      </c>
      <c r="C172" s="33"/>
      <c r="D172" s="34"/>
      <c r="E172" s="15"/>
    </row>
    <row r="173" customFormat="false" ht="14.25" hidden="true" customHeight="false" outlineLevel="0" collapsed="false">
      <c r="A173" s="35" t="s">
        <v>325</v>
      </c>
      <c r="B173" s="36" t="s">
        <v>326</v>
      </c>
      <c r="C173" s="37" t="s">
        <v>75</v>
      </c>
      <c r="D173" s="38"/>
      <c r="E173" s="10"/>
    </row>
    <row r="174" customFormat="false" ht="14.25" hidden="true" customHeight="false" outlineLevel="0" collapsed="false">
      <c r="A174" s="35" t="s">
        <v>327</v>
      </c>
      <c r="B174" s="36" t="s">
        <v>100</v>
      </c>
      <c r="C174" s="37" t="s">
        <v>61</v>
      </c>
      <c r="D174" s="38"/>
      <c r="E174" s="10"/>
    </row>
    <row r="175" customFormat="false" ht="14.25" hidden="true" customHeight="false" outlineLevel="0" collapsed="false">
      <c r="A175" s="31" t="s">
        <v>57</v>
      </c>
      <c r="B175" s="32" t="s">
        <v>115</v>
      </c>
      <c r="C175" s="33"/>
      <c r="D175" s="34"/>
      <c r="E175" s="15"/>
    </row>
    <row r="176" customFormat="false" ht="14.25" hidden="true" customHeight="false" outlineLevel="0" collapsed="false">
      <c r="A176" s="35" t="s">
        <v>328</v>
      </c>
      <c r="B176" s="36" t="s">
        <v>267</v>
      </c>
      <c r="C176" s="37" t="s">
        <v>61</v>
      </c>
      <c r="D176" s="38"/>
      <c r="E176" s="10"/>
    </row>
    <row r="177" customFormat="false" ht="14.25" hidden="true" customHeight="false" outlineLevel="0" collapsed="false">
      <c r="A177" s="35" t="s">
        <v>329</v>
      </c>
      <c r="B177" s="36" t="s">
        <v>265</v>
      </c>
      <c r="C177" s="37" t="s">
        <v>61</v>
      </c>
      <c r="D177" s="38"/>
      <c r="E177" s="10"/>
    </row>
    <row r="178" customFormat="false" ht="14.25" hidden="true" customHeight="false" outlineLevel="0" collapsed="false">
      <c r="A178" s="35" t="s">
        <v>330</v>
      </c>
      <c r="B178" s="36" t="s">
        <v>263</v>
      </c>
      <c r="C178" s="37" t="s">
        <v>61</v>
      </c>
      <c r="D178" s="38"/>
      <c r="E178" s="10"/>
    </row>
    <row r="179" customFormat="false" ht="14.25" hidden="true" customHeight="false" outlineLevel="0" collapsed="false">
      <c r="A179" s="35" t="s">
        <v>331</v>
      </c>
      <c r="B179" s="36" t="s">
        <v>332</v>
      </c>
      <c r="C179" s="37" t="s">
        <v>61</v>
      </c>
      <c r="D179" s="38"/>
      <c r="E179" s="10"/>
    </row>
    <row r="180" customFormat="false" ht="14.25" hidden="true" customHeight="false" outlineLevel="0" collapsed="false">
      <c r="A180" s="35" t="s">
        <v>333</v>
      </c>
      <c r="B180" s="36" t="s">
        <v>334</v>
      </c>
      <c r="C180" s="37" t="s">
        <v>61</v>
      </c>
      <c r="D180" s="38"/>
      <c r="E180" s="10"/>
    </row>
    <row r="181" customFormat="false" ht="14.25" hidden="true" customHeight="false" outlineLevel="0" collapsed="false">
      <c r="A181" s="35" t="s">
        <v>335</v>
      </c>
      <c r="B181" s="36" t="s">
        <v>336</v>
      </c>
      <c r="C181" s="37" t="s">
        <v>61</v>
      </c>
      <c r="D181" s="38"/>
      <c r="E181" s="10"/>
    </row>
    <row r="182" customFormat="false" ht="14.25" hidden="true" customHeight="false" outlineLevel="0" collapsed="false">
      <c r="A182" s="35" t="s">
        <v>337</v>
      </c>
      <c r="B182" s="36" t="s">
        <v>338</v>
      </c>
      <c r="C182" s="37" t="s">
        <v>61</v>
      </c>
      <c r="D182" s="38"/>
      <c r="E182" s="10"/>
    </row>
    <row r="183" customFormat="false" ht="14.25" hidden="true" customHeight="false" outlineLevel="0" collapsed="false">
      <c r="A183" s="35" t="s">
        <v>339</v>
      </c>
      <c r="B183" s="36" t="s">
        <v>340</v>
      </c>
      <c r="C183" s="37" t="s">
        <v>61</v>
      </c>
      <c r="D183" s="38"/>
      <c r="E183" s="10"/>
    </row>
    <row r="184" customFormat="false" ht="14.25" hidden="true" customHeight="false" outlineLevel="0" collapsed="false">
      <c r="A184" s="35" t="s">
        <v>341</v>
      </c>
      <c r="B184" s="36" t="s">
        <v>342</v>
      </c>
      <c r="C184" s="37" t="s">
        <v>61</v>
      </c>
      <c r="D184" s="38"/>
      <c r="E184" s="10"/>
    </row>
    <row r="185" customFormat="false" ht="14.25" hidden="true" customHeight="false" outlineLevel="0" collapsed="false">
      <c r="A185" s="35" t="s">
        <v>343</v>
      </c>
      <c r="B185" s="36" t="s">
        <v>344</v>
      </c>
      <c r="C185" s="37" t="s">
        <v>61</v>
      </c>
      <c r="D185" s="38"/>
      <c r="E185" s="10"/>
    </row>
    <row r="186" customFormat="false" ht="14.25" hidden="true" customHeight="false" outlineLevel="0" collapsed="false">
      <c r="A186" s="35" t="s">
        <v>345</v>
      </c>
      <c r="B186" s="36" t="s">
        <v>346</v>
      </c>
      <c r="C186" s="37" t="s">
        <v>61</v>
      </c>
      <c r="D186" s="38"/>
      <c r="E186" s="10"/>
    </row>
    <row r="187" customFormat="false" ht="14.25" hidden="true" customHeight="false" outlineLevel="0" collapsed="false">
      <c r="A187" s="35" t="s">
        <v>347</v>
      </c>
      <c r="B187" s="36" t="s">
        <v>348</v>
      </c>
      <c r="C187" s="37" t="s">
        <v>61</v>
      </c>
      <c r="D187" s="38"/>
      <c r="E187" s="10"/>
    </row>
    <row r="188" customFormat="false" ht="14.25" hidden="true" customHeight="false" outlineLevel="0" collapsed="false">
      <c r="A188" s="35" t="s">
        <v>349</v>
      </c>
      <c r="B188" s="36" t="s">
        <v>350</v>
      </c>
      <c r="C188" s="37" t="s">
        <v>61</v>
      </c>
      <c r="D188" s="38"/>
      <c r="E188" s="10"/>
    </row>
    <row r="189" customFormat="false" ht="14.25" hidden="true" customHeight="false" outlineLevel="0" collapsed="false">
      <c r="A189" s="35" t="s">
        <v>351</v>
      </c>
      <c r="B189" s="36" t="s">
        <v>352</v>
      </c>
      <c r="C189" s="37" t="s">
        <v>61</v>
      </c>
      <c r="D189" s="38"/>
      <c r="E189" s="10"/>
    </row>
    <row r="190" customFormat="false" ht="14.25" hidden="true" customHeight="false" outlineLevel="0" collapsed="false">
      <c r="A190" s="35" t="s">
        <v>353</v>
      </c>
      <c r="B190" s="36" t="s">
        <v>354</v>
      </c>
      <c r="C190" s="37" t="s">
        <v>61</v>
      </c>
      <c r="D190" s="38"/>
      <c r="E190" s="10"/>
    </row>
    <row r="191" customFormat="false" ht="14.25" hidden="true" customHeight="false" outlineLevel="0" collapsed="false">
      <c r="A191" s="35" t="s">
        <v>355</v>
      </c>
      <c r="B191" s="36" t="s">
        <v>356</v>
      </c>
      <c r="C191" s="37" t="s">
        <v>61</v>
      </c>
      <c r="D191" s="38"/>
      <c r="E191" s="10"/>
    </row>
    <row r="192" customFormat="false" ht="14.25" hidden="true" customHeight="false" outlineLevel="0" collapsed="false">
      <c r="A192" s="35" t="s">
        <v>357</v>
      </c>
      <c r="B192" s="36" t="s">
        <v>358</v>
      </c>
      <c r="C192" s="37" t="s">
        <v>61</v>
      </c>
      <c r="D192" s="38"/>
      <c r="E192" s="10"/>
    </row>
    <row r="193" customFormat="false" ht="14.25" hidden="true" customHeight="false" outlineLevel="0" collapsed="false">
      <c r="A193" s="35" t="s">
        <v>359</v>
      </c>
      <c r="B193" s="36" t="s">
        <v>360</v>
      </c>
      <c r="C193" s="37" t="s">
        <v>61</v>
      </c>
      <c r="D193" s="38"/>
      <c r="E193" s="10"/>
    </row>
    <row r="194" customFormat="false" ht="14.25" hidden="true" customHeight="false" outlineLevel="0" collapsed="false">
      <c r="A194" s="35" t="s">
        <v>361</v>
      </c>
      <c r="B194" s="36" t="s">
        <v>360</v>
      </c>
      <c r="C194" s="37" t="s">
        <v>61</v>
      </c>
      <c r="D194" s="38"/>
      <c r="E194" s="10"/>
    </row>
    <row r="195" customFormat="false" ht="14.25" hidden="false" customHeight="false" outlineLevel="0" collapsed="false">
      <c r="A195" s="26" t="n">
        <v>4</v>
      </c>
      <c r="B195" s="27" t="s">
        <v>362</v>
      </c>
      <c r="C195" s="28"/>
      <c r="D195" s="41"/>
      <c r="E195" s="30"/>
    </row>
    <row r="196" customFormat="false" ht="14.25" hidden="false" customHeight="false" outlineLevel="0" collapsed="false">
      <c r="A196" s="31" t="s">
        <v>57</v>
      </c>
      <c r="B196" s="32" t="s">
        <v>363</v>
      </c>
      <c r="C196" s="33"/>
      <c r="D196" s="34"/>
      <c r="E196" s="15"/>
    </row>
    <row r="197" customFormat="false" ht="14.25" hidden="false" customHeight="false" outlineLevel="0" collapsed="false">
      <c r="A197" s="35" t="s">
        <v>364</v>
      </c>
      <c r="B197" s="36" t="s">
        <v>365</v>
      </c>
      <c r="C197" s="37" t="s">
        <v>61</v>
      </c>
      <c r="D197" s="38"/>
      <c r="E197" s="10"/>
    </row>
    <row r="198" customFormat="false" ht="14.25" hidden="false" customHeight="false" outlineLevel="0" collapsed="false">
      <c r="A198" s="35" t="s">
        <v>366</v>
      </c>
      <c r="B198" s="36" t="s">
        <v>367</v>
      </c>
      <c r="C198" s="37" t="s">
        <v>61</v>
      </c>
      <c r="D198" s="38"/>
      <c r="E198" s="10"/>
    </row>
    <row r="199" customFormat="false" ht="14.25" hidden="false" customHeight="false" outlineLevel="0" collapsed="false">
      <c r="A199" s="35" t="s">
        <v>368</v>
      </c>
      <c r="B199" s="36" t="s">
        <v>369</v>
      </c>
      <c r="C199" s="37" t="s">
        <v>61</v>
      </c>
      <c r="D199" s="38"/>
      <c r="E199" s="10"/>
    </row>
    <row r="200" customFormat="false" ht="14.25" hidden="false" customHeight="false" outlineLevel="0" collapsed="false">
      <c r="A200" s="35" t="s">
        <v>370</v>
      </c>
      <c r="B200" s="36" t="s">
        <v>371</v>
      </c>
      <c r="C200" s="37" t="s">
        <v>61</v>
      </c>
      <c r="D200" s="38"/>
      <c r="E200" s="10"/>
    </row>
    <row r="201" customFormat="false" ht="14.25" hidden="false" customHeight="false" outlineLevel="0" collapsed="false">
      <c r="A201" s="31" t="s">
        <v>57</v>
      </c>
      <c r="B201" s="32" t="s">
        <v>372</v>
      </c>
      <c r="C201" s="33"/>
      <c r="D201" s="34"/>
      <c r="E201" s="15"/>
    </row>
    <row r="202" customFormat="false" ht="14.25" hidden="false" customHeight="false" outlineLevel="0" collapsed="false">
      <c r="A202" s="31" t="s">
        <v>57</v>
      </c>
      <c r="B202" s="32" t="s">
        <v>373</v>
      </c>
      <c r="C202" s="33"/>
      <c r="D202" s="42"/>
      <c r="E202" s="15"/>
    </row>
    <row r="203" customFormat="false" ht="14.25" hidden="false" customHeight="false" outlineLevel="0" collapsed="false">
      <c r="A203" s="35" t="s">
        <v>374</v>
      </c>
      <c r="B203" s="36" t="s">
        <v>375</v>
      </c>
      <c r="C203" s="37" t="s">
        <v>75</v>
      </c>
      <c r="D203" s="38"/>
      <c r="E203" s="10"/>
    </row>
    <row r="204" customFormat="false" ht="14.25" hidden="false" customHeight="false" outlineLevel="0" collapsed="false">
      <c r="A204" s="35" t="s">
        <v>376</v>
      </c>
      <c r="B204" s="36" t="s">
        <v>377</v>
      </c>
      <c r="C204" s="37" t="s">
        <v>75</v>
      </c>
      <c r="D204" s="38"/>
      <c r="E204" s="10"/>
    </row>
    <row r="205" customFormat="false" ht="14.25" hidden="false" customHeight="false" outlineLevel="0" collapsed="false">
      <c r="A205" s="35" t="s">
        <v>378</v>
      </c>
      <c r="B205" s="36" t="s">
        <v>379</v>
      </c>
      <c r="C205" s="37" t="s">
        <v>75</v>
      </c>
      <c r="D205" s="38"/>
      <c r="E205" s="10"/>
    </row>
    <row r="206" customFormat="false" ht="14.25" hidden="false" customHeight="false" outlineLevel="0" collapsed="false">
      <c r="A206" s="35" t="s">
        <v>380</v>
      </c>
      <c r="B206" s="36" t="s">
        <v>381</v>
      </c>
      <c r="C206" s="37" t="s">
        <v>75</v>
      </c>
      <c r="D206" s="38"/>
      <c r="E206" s="10"/>
    </row>
    <row r="207" customFormat="false" ht="14.25" hidden="false" customHeight="false" outlineLevel="0" collapsed="false">
      <c r="A207" s="35"/>
      <c r="B207" s="36" t="s">
        <v>382</v>
      </c>
      <c r="C207" s="37" t="s">
        <v>61</v>
      </c>
      <c r="D207" s="38"/>
      <c r="E207" s="10"/>
    </row>
    <row r="208" customFormat="false" ht="14.25" hidden="false" customHeight="false" outlineLevel="0" collapsed="false">
      <c r="A208" s="35"/>
      <c r="B208" s="36" t="s">
        <v>383</v>
      </c>
      <c r="C208" s="37" t="s">
        <v>61</v>
      </c>
      <c r="D208" s="38"/>
      <c r="E208" s="10"/>
    </row>
    <row r="209" customFormat="false" ht="14.25" hidden="false" customHeight="false" outlineLevel="0" collapsed="false">
      <c r="A209" s="35"/>
      <c r="B209" s="36" t="s">
        <v>384</v>
      </c>
      <c r="C209" s="37" t="s">
        <v>61</v>
      </c>
      <c r="D209" s="38"/>
      <c r="E209" s="10"/>
    </row>
    <row r="210" customFormat="false" ht="14.25" hidden="false" customHeight="false" outlineLevel="0" collapsed="false">
      <c r="A210" s="35"/>
      <c r="B210" s="36" t="s">
        <v>385</v>
      </c>
      <c r="C210" s="37" t="s">
        <v>61</v>
      </c>
      <c r="D210" s="38"/>
      <c r="E210" s="10"/>
    </row>
    <row r="211" customFormat="false" ht="14.25" hidden="false" customHeight="false" outlineLevel="0" collapsed="false">
      <c r="A211" s="31" t="s">
        <v>57</v>
      </c>
      <c r="B211" s="32" t="s">
        <v>386</v>
      </c>
      <c r="C211" s="33"/>
      <c r="D211" s="34"/>
      <c r="E211" s="15"/>
    </row>
    <row r="212" customFormat="false" ht="14.25" hidden="false" customHeight="false" outlineLevel="0" collapsed="false">
      <c r="A212" s="31" t="s">
        <v>57</v>
      </c>
      <c r="B212" s="32" t="s">
        <v>387</v>
      </c>
      <c r="C212" s="33"/>
      <c r="D212" s="42"/>
      <c r="E212" s="15"/>
    </row>
    <row r="213" customFormat="false" ht="14.25" hidden="false" customHeight="false" outlineLevel="0" collapsed="false">
      <c r="A213" s="35" t="s">
        <v>388</v>
      </c>
      <c r="B213" s="36" t="s">
        <v>389</v>
      </c>
      <c r="C213" s="37" t="s">
        <v>75</v>
      </c>
      <c r="D213" s="38"/>
      <c r="E213" s="10"/>
    </row>
    <row r="214" customFormat="false" ht="14.25" hidden="false" customHeight="false" outlineLevel="0" collapsed="false">
      <c r="A214" s="35" t="s">
        <v>390</v>
      </c>
      <c r="B214" s="36" t="s">
        <v>391</v>
      </c>
      <c r="C214" s="37" t="s">
        <v>75</v>
      </c>
      <c r="D214" s="38"/>
      <c r="E214" s="10"/>
    </row>
    <row r="215" customFormat="false" ht="14.25" hidden="false" customHeight="false" outlineLevel="0" collapsed="false">
      <c r="A215" s="35" t="s">
        <v>392</v>
      </c>
      <c r="B215" s="36" t="s">
        <v>393</v>
      </c>
      <c r="C215" s="37" t="s">
        <v>75</v>
      </c>
      <c r="D215" s="38"/>
      <c r="E215" s="10"/>
    </row>
    <row r="216" customFormat="false" ht="14.25" hidden="false" customHeight="false" outlineLevel="0" collapsed="false">
      <c r="A216" s="35" t="s">
        <v>394</v>
      </c>
      <c r="B216" s="36" t="s">
        <v>395</v>
      </c>
      <c r="C216" s="37" t="s">
        <v>75</v>
      </c>
      <c r="D216" s="38"/>
      <c r="E216" s="10"/>
    </row>
    <row r="217" customFormat="false" ht="14.25" hidden="false" customHeight="false" outlineLevel="0" collapsed="false">
      <c r="A217" s="35" t="s">
        <v>396</v>
      </c>
      <c r="B217" s="36" t="s">
        <v>397</v>
      </c>
      <c r="C217" s="37" t="s">
        <v>75</v>
      </c>
      <c r="D217" s="38"/>
      <c r="E217" s="10"/>
    </row>
    <row r="218" customFormat="false" ht="14.25" hidden="false" customHeight="false" outlineLevel="0" collapsed="false">
      <c r="A218" s="35" t="s">
        <v>398</v>
      </c>
      <c r="B218" s="36" t="s">
        <v>399</v>
      </c>
      <c r="C218" s="37" t="s">
        <v>75</v>
      </c>
      <c r="D218" s="38"/>
      <c r="E218" s="10"/>
    </row>
    <row r="219" customFormat="false" ht="14.25" hidden="false" customHeight="false" outlineLevel="0" collapsed="false">
      <c r="A219" s="35"/>
      <c r="B219" s="36" t="s">
        <v>400</v>
      </c>
      <c r="C219" s="37" t="s">
        <v>61</v>
      </c>
      <c r="D219" s="38"/>
      <c r="E219" s="10"/>
    </row>
    <row r="220" customFormat="false" ht="14.25" hidden="false" customHeight="false" outlineLevel="0" collapsed="false">
      <c r="A220" s="35"/>
      <c r="B220" s="36" t="s">
        <v>401</v>
      </c>
      <c r="C220" s="37" t="s">
        <v>61</v>
      </c>
      <c r="D220" s="38"/>
      <c r="E220" s="10"/>
    </row>
    <row r="221" customFormat="false" ht="14.25" hidden="false" customHeight="false" outlineLevel="0" collapsed="false">
      <c r="A221" s="35"/>
      <c r="B221" s="36" t="s">
        <v>100</v>
      </c>
      <c r="C221" s="37" t="s">
        <v>61</v>
      </c>
      <c r="D221" s="38"/>
      <c r="E221" s="10"/>
    </row>
    <row r="222" customFormat="false" ht="14.25" hidden="false" customHeight="false" outlineLevel="0" collapsed="false">
      <c r="A222" s="35"/>
      <c r="B222" s="36" t="s">
        <v>402</v>
      </c>
      <c r="C222" s="37" t="s">
        <v>61</v>
      </c>
      <c r="D222" s="38"/>
      <c r="E222" s="10"/>
    </row>
    <row r="223" customFormat="false" ht="14.25" hidden="false" customHeight="false" outlineLevel="0" collapsed="false">
      <c r="A223" s="35"/>
      <c r="B223" s="36" t="s">
        <v>98</v>
      </c>
      <c r="C223" s="37" t="s">
        <v>61</v>
      </c>
      <c r="D223" s="38"/>
      <c r="E223" s="10"/>
    </row>
    <row r="224" customFormat="false" ht="14.25" hidden="false" customHeight="false" outlineLevel="0" collapsed="false">
      <c r="A224" s="35"/>
      <c r="B224" s="36" t="s">
        <v>96</v>
      </c>
      <c r="C224" s="37" t="s">
        <v>61</v>
      </c>
      <c r="D224" s="38"/>
      <c r="E224" s="10"/>
    </row>
    <row r="225" customFormat="false" ht="14.25" hidden="false" customHeight="false" outlineLevel="0" collapsed="false">
      <c r="A225" s="31" t="s">
        <v>57</v>
      </c>
      <c r="B225" s="32" t="s">
        <v>403</v>
      </c>
      <c r="C225" s="33"/>
      <c r="D225" s="42"/>
      <c r="E225" s="15"/>
    </row>
    <row r="226" customFormat="false" ht="14.25" hidden="false" customHeight="false" outlineLevel="0" collapsed="false">
      <c r="A226" s="35" t="s">
        <v>404</v>
      </c>
      <c r="B226" s="36" t="s">
        <v>405</v>
      </c>
      <c r="C226" s="37" t="s">
        <v>75</v>
      </c>
      <c r="D226" s="38"/>
      <c r="E226" s="10"/>
    </row>
    <row r="227" customFormat="false" ht="14.25" hidden="false" customHeight="false" outlineLevel="0" collapsed="false">
      <c r="A227" s="35" t="s">
        <v>406</v>
      </c>
      <c r="B227" s="36" t="s">
        <v>407</v>
      </c>
      <c r="C227" s="37" t="s">
        <v>75</v>
      </c>
      <c r="D227" s="38"/>
      <c r="E227" s="10"/>
    </row>
    <row r="228" customFormat="false" ht="14.25" hidden="false" customHeight="false" outlineLevel="0" collapsed="false">
      <c r="A228" s="35" t="s">
        <v>408</v>
      </c>
      <c r="B228" s="36" t="s">
        <v>409</v>
      </c>
      <c r="C228" s="37" t="s">
        <v>61</v>
      </c>
      <c r="D228" s="38"/>
      <c r="E228" s="10"/>
    </row>
    <row r="229" customFormat="false" ht="15.75" hidden="false" customHeight="true" outlineLevel="0" collapsed="false">
      <c r="A229" s="35" t="s">
        <v>410</v>
      </c>
      <c r="B229" s="36" t="s">
        <v>411</v>
      </c>
      <c r="C229" s="37" t="s">
        <v>61</v>
      </c>
      <c r="D229" s="38"/>
      <c r="E229" s="10"/>
    </row>
    <row r="230" customFormat="false" ht="14.25" hidden="false" customHeight="false" outlineLevel="0" collapsed="false">
      <c r="A230" s="31" t="s">
        <v>57</v>
      </c>
      <c r="B230" s="32" t="s">
        <v>412</v>
      </c>
      <c r="C230" s="33"/>
      <c r="D230" s="34"/>
      <c r="E230" s="15"/>
    </row>
    <row r="231" customFormat="false" ht="14.25" hidden="false" customHeight="false" outlineLevel="0" collapsed="false">
      <c r="A231" s="35" t="s">
        <v>413</v>
      </c>
      <c r="B231" s="36" t="s">
        <v>414</v>
      </c>
      <c r="C231" s="37" t="s">
        <v>75</v>
      </c>
      <c r="D231" s="38"/>
      <c r="E231" s="10"/>
    </row>
    <row r="232" customFormat="false" ht="14.25" hidden="false" customHeight="false" outlineLevel="0" collapsed="false">
      <c r="A232" s="35" t="s">
        <v>415</v>
      </c>
      <c r="B232" s="36" t="s">
        <v>416</v>
      </c>
      <c r="C232" s="37" t="s">
        <v>75</v>
      </c>
      <c r="D232" s="38"/>
      <c r="E232" s="10"/>
    </row>
    <row r="233" customFormat="false" ht="14.25" hidden="false" customHeight="false" outlineLevel="0" collapsed="false">
      <c r="A233" s="35" t="s">
        <v>417</v>
      </c>
      <c r="B233" s="36" t="s">
        <v>407</v>
      </c>
      <c r="C233" s="37" t="s">
        <v>75</v>
      </c>
      <c r="D233" s="38"/>
      <c r="E233" s="10"/>
    </row>
    <row r="234" customFormat="false" ht="14.25" hidden="false" customHeight="false" outlineLevel="0" collapsed="false">
      <c r="A234" s="35"/>
      <c r="B234" s="36" t="s">
        <v>81</v>
      </c>
      <c r="C234" s="37" t="s">
        <v>61</v>
      </c>
      <c r="D234" s="38"/>
      <c r="E234" s="10"/>
    </row>
    <row r="235" customFormat="false" ht="14.25" hidden="false" customHeight="false" outlineLevel="0" collapsed="false">
      <c r="A235" s="35"/>
      <c r="B235" s="36" t="s">
        <v>85</v>
      </c>
      <c r="C235" s="37" t="s">
        <v>61</v>
      </c>
      <c r="D235" s="38"/>
      <c r="E235" s="10"/>
    </row>
    <row r="236" customFormat="false" ht="14.25" hidden="false" customHeight="false" outlineLevel="0" collapsed="false">
      <c r="A236" s="35" t="s">
        <v>418</v>
      </c>
      <c r="B236" s="36" t="s">
        <v>419</v>
      </c>
      <c r="C236" s="37" t="s">
        <v>61</v>
      </c>
      <c r="D236" s="38"/>
      <c r="E236" s="10"/>
    </row>
    <row r="237" customFormat="false" ht="14.25" hidden="false" customHeight="false" outlineLevel="0" collapsed="false">
      <c r="A237" s="35" t="s">
        <v>420</v>
      </c>
      <c r="B237" s="36" t="s">
        <v>421</v>
      </c>
      <c r="C237" s="37" t="s">
        <v>61</v>
      </c>
      <c r="D237" s="38"/>
      <c r="E237" s="10"/>
    </row>
    <row r="238" customFormat="false" ht="14.25" hidden="false" customHeight="false" outlineLevel="0" collapsed="false">
      <c r="A238" s="35" t="s">
        <v>422</v>
      </c>
      <c r="B238" s="36" t="s">
        <v>423</v>
      </c>
      <c r="C238" s="37" t="s">
        <v>61</v>
      </c>
      <c r="D238" s="38"/>
      <c r="E238" s="10"/>
    </row>
    <row r="239" customFormat="false" ht="28.5" hidden="false" customHeight="true" outlineLevel="0" collapsed="false">
      <c r="A239" s="35" t="s">
        <v>424</v>
      </c>
      <c r="B239" s="36" t="s">
        <v>425</v>
      </c>
      <c r="C239" s="37" t="s">
        <v>61</v>
      </c>
      <c r="D239" s="38"/>
      <c r="E239" s="10"/>
    </row>
    <row r="240" customFormat="false" ht="14.25" hidden="false" customHeight="false" outlineLevel="0" collapsed="false">
      <c r="A240" s="35" t="s">
        <v>426</v>
      </c>
      <c r="B240" s="36" t="s">
        <v>427</v>
      </c>
      <c r="C240" s="37" t="s">
        <v>61</v>
      </c>
      <c r="D240" s="38"/>
      <c r="E240" s="10"/>
    </row>
    <row r="241" customFormat="false" ht="14.25" hidden="false" customHeight="false" outlineLevel="0" collapsed="false">
      <c r="A241" s="35"/>
      <c r="B241" s="36" t="s">
        <v>111</v>
      </c>
      <c r="C241" s="37" t="s">
        <v>112</v>
      </c>
      <c r="D241" s="38"/>
      <c r="E241" s="10"/>
    </row>
    <row r="242" customFormat="false" ht="14.25" hidden="false" customHeight="false" outlineLevel="0" collapsed="false">
      <c r="A242" s="35"/>
      <c r="B242" s="36" t="s">
        <v>114</v>
      </c>
      <c r="C242" s="37" t="s">
        <v>112</v>
      </c>
      <c r="D242" s="38"/>
      <c r="E242" s="10"/>
    </row>
    <row r="243" customFormat="false" ht="14.25" hidden="false" customHeight="false" outlineLevel="0" collapsed="false">
      <c r="A243" s="43"/>
      <c r="B243" s="20"/>
      <c r="C243" s="19"/>
      <c r="D243" s="44"/>
      <c r="E243" s="7"/>
    </row>
    <row r="244" customFormat="false" ht="14.25" hidden="false" customHeight="false" outlineLevel="0" collapsed="false">
      <c r="A244" s="31" t="s">
        <v>57</v>
      </c>
      <c r="B244" s="32" t="s">
        <v>115</v>
      </c>
      <c r="C244" s="33"/>
      <c r="D244" s="34"/>
      <c r="E244" s="15"/>
    </row>
    <row r="245" customFormat="false" ht="14.25" hidden="false" customHeight="false" outlineLevel="0" collapsed="false">
      <c r="A245" s="35" t="s">
        <v>428</v>
      </c>
      <c r="B245" s="36" t="s">
        <v>429</v>
      </c>
      <c r="C245" s="37" t="s">
        <v>61</v>
      </c>
      <c r="D245" s="38"/>
      <c r="E245" s="10"/>
    </row>
    <row r="246" customFormat="false" ht="14.25" hidden="false" customHeight="false" outlineLevel="0" collapsed="false">
      <c r="A246" s="35" t="s">
        <v>430</v>
      </c>
      <c r="B246" s="36" t="s">
        <v>431</v>
      </c>
      <c r="C246" s="37" t="s">
        <v>61</v>
      </c>
      <c r="D246" s="38"/>
      <c r="E246" s="10"/>
    </row>
    <row r="247" customFormat="false" ht="14.25" hidden="false" customHeight="false" outlineLevel="0" collapsed="false">
      <c r="A247" s="35" t="s">
        <v>432</v>
      </c>
      <c r="B247" s="36" t="s">
        <v>433</v>
      </c>
      <c r="C247" s="37" t="s">
        <v>61</v>
      </c>
      <c r="D247" s="38"/>
      <c r="E247" s="10"/>
    </row>
    <row r="248" customFormat="false" ht="14.25" hidden="false" customHeight="false" outlineLevel="0" collapsed="false">
      <c r="A248" s="35"/>
      <c r="B248" s="36" t="s">
        <v>434</v>
      </c>
      <c r="C248" s="37" t="s">
        <v>61</v>
      </c>
      <c r="D248" s="38"/>
      <c r="E248" s="10"/>
    </row>
    <row r="249" customFormat="false" ht="14.25" hidden="false" customHeight="false" outlineLevel="0" collapsed="false">
      <c r="A249" s="35"/>
      <c r="B249" s="36" t="s">
        <v>435</v>
      </c>
      <c r="C249" s="37" t="s">
        <v>61</v>
      </c>
      <c r="D249" s="38"/>
      <c r="E249" s="10"/>
    </row>
    <row r="250" customFormat="false" ht="14.25" hidden="false" customHeight="false" outlineLevel="0" collapsed="false">
      <c r="A250" s="35"/>
      <c r="B250" s="36" t="s">
        <v>436</v>
      </c>
      <c r="C250" s="37" t="s">
        <v>61</v>
      </c>
      <c r="D250" s="38"/>
      <c r="E250" s="10"/>
    </row>
    <row r="251" customFormat="false" ht="14.25" hidden="false" customHeight="false" outlineLevel="0" collapsed="false">
      <c r="A251" s="35"/>
      <c r="B251" s="36" t="s">
        <v>437</v>
      </c>
      <c r="C251" s="37" t="s">
        <v>61</v>
      </c>
      <c r="D251" s="38"/>
      <c r="E251" s="10"/>
    </row>
    <row r="252" customFormat="false" ht="14.25" hidden="false" customHeight="false" outlineLevel="0" collapsed="false">
      <c r="A252" s="35" t="s">
        <v>438</v>
      </c>
      <c r="B252" s="36" t="s">
        <v>439</v>
      </c>
      <c r="C252" s="37" t="s">
        <v>61</v>
      </c>
      <c r="D252" s="38"/>
      <c r="E252" s="10"/>
    </row>
    <row r="253" customFormat="false" ht="14.25" hidden="false" customHeight="false" outlineLevel="0" collapsed="false">
      <c r="A253" s="35" t="s">
        <v>440</v>
      </c>
      <c r="B253" s="36" t="s">
        <v>441</v>
      </c>
      <c r="C253" s="37" t="s">
        <v>61</v>
      </c>
      <c r="D253" s="38"/>
      <c r="E253" s="10"/>
    </row>
    <row r="254" customFormat="false" ht="14.25" hidden="false" customHeight="false" outlineLevel="0" collapsed="false">
      <c r="A254" s="35" t="s">
        <v>442</v>
      </c>
      <c r="B254" s="36" t="s">
        <v>443</v>
      </c>
      <c r="C254" s="37" t="s">
        <v>61</v>
      </c>
      <c r="D254" s="38"/>
      <c r="E254" s="10"/>
    </row>
    <row r="255" customFormat="false" ht="14.25" hidden="false" customHeight="false" outlineLevel="0" collapsed="false">
      <c r="A255" s="35" t="s">
        <v>444</v>
      </c>
      <c r="B255" s="36" t="s">
        <v>445</v>
      </c>
      <c r="C255" s="37" t="s">
        <v>61</v>
      </c>
      <c r="D255" s="38"/>
      <c r="E255" s="10"/>
    </row>
    <row r="256" customFormat="false" ht="14.25" hidden="false" customHeight="false" outlineLevel="0" collapsed="false">
      <c r="A256" s="35" t="s">
        <v>446</v>
      </c>
      <c r="B256" s="36" t="s">
        <v>447</v>
      </c>
      <c r="C256" s="37" t="s">
        <v>61</v>
      </c>
      <c r="D256" s="38"/>
      <c r="E256" s="10"/>
    </row>
    <row r="257" customFormat="false" ht="14.25" hidden="false" customHeight="false" outlineLevel="0" collapsed="false">
      <c r="A257" s="35" t="s">
        <v>448</v>
      </c>
      <c r="B257" s="36" t="s">
        <v>449</v>
      </c>
      <c r="C257" s="37" t="s">
        <v>61</v>
      </c>
      <c r="D257" s="38"/>
      <c r="E257" s="10"/>
    </row>
    <row r="258" customFormat="false" ht="14.25" hidden="false" customHeight="false" outlineLevel="0" collapsed="false">
      <c r="A258" s="35" t="s">
        <v>450</v>
      </c>
      <c r="B258" s="36" t="s">
        <v>451</v>
      </c>
      <c r="C258" s="37" t="s">
        <v>61</v>
      </c>
      <c r="D258" s="38"/>
      <c r="E258" s="10"/>
    </row>
    <row r="259" customFormat="false" ht="14.25" hidden="false" customHeight="false" outlineLevel="0" collapsed="false">
      <c r="A259" s="35" t="s">
        <v>452</v>
      </c>
      <c r="B259" s="36" t="s">
        <v>453</v>
      </c>
      <c r="C259" s="37" t="s">
        <v>61</v>
      </c>
      <c r="D259" s="38"/>
      <c r="E259" s="10"/>
    </row>
    <row r="260" customFormat="false" ht="14.25" hidden="false" customHeight="false" outlineLevel="0" collapsed="false">
      <c r="A260" s="35" t="s">
        <v>454</v>
      </c>
      <c r="B260" s="36" t="s">
        <v>455</v>
      </c>
      <c r="C260" s="37" t="s">
        <v>61</v>
      </c>
      <c r="D260" s="38"/>
      <c r="E260" s="10"/>
    </row>
    <row r="261" customFormat="false" ht="14.25" hidden="false" customHeight="false" outlineLevel="0" collapsed="false">
      <c r="A261" s="35" t="s">
        <v>456</v>
      </c>
      <c r="B261" s="36" t="s">
        <v>457</v>
      </c>
      <c r="C261" s="37" t="s">
        <v>61</v>
      </c>
      <c r="D261" s="38"/>
      <c r="E261" s="10"/>
    </row>
    <row r="262" customFormat="false" ht="14.25" hidden="false" customHeight="false" outlineLevel="0" collapsed="false">
      <c r="A262" s="35" t="s">
        <v>458</v>
      </c>
      <c r="B262" s="36" t="s">
        <v>459</v>
      </c>
      <c r="C262" s="37" t="s">
        <v>61</v>
      </c>
      <c r="D262" s="38"/>
      <c r="E262" s="10"/>
    </row>
    <row r="263" customFormat="false" ht="14.25" hidden="false" customHeight="false" outlineLevel="0" collapsed="false">
      <c r="A263" s="35" t="s">
        <v>460</v>
      </c>
      <c r="B263" s="36" t="s">
        <v>461</v>
      </c>
      <c r="C263" s="37" t="s">
        <v>61</v>
      </c>
      <c r="D263" s="38"/>
      <c r="E263" s="10"/>
    </row>
    <row r="264" customFormat="false" ht="14.25" hidden="false" customHeight="false" outlineLevel="0" collapsed="false">
      <c r="A264" s="35" t="s">
        <v>462</v>
      </c>
      <c r="B264" s="36" t="s">
        <v>463</v>
      </c>
      <c r="C264" s="37" t="s">
        <v>61</v>
      </c>
      <c r="D264" s="38"/>
      <c r="E264" s="10"/>
    </row>
    <row r="265" customFormat="false" ht="14.25" hidden="false" customHeight="false" outlineLevel="0" collapsed="false">
      <c r="A265" s="35" t="s">
        <v>464</v>
      </c>
      <c r="B265" s="36" t="s">
        <v>465</v>
      </c>
      <c r="C265" s="37" t="s">
        <v>61</v>
      </c>
      <c r="D265" s="38"/>
      <c r="E265" s="10"/>
    </row>
    <row r="266" customFormat="false" ht="14.25" hidden="false" customHeight="false" outlineLevel="0" collapsed="false">
      <c r="A266" s="35" t="s">
        <v>466</v>
      </c>
      <c r="B266" s="36" t="s">
        <v>467</v>
      </c>
      <c r="C266" s="37" t="s">
        <v>61</v>
      </c>
      <c r="D266" s="38"/>
      <c r="E266" s="10"/>
    </row>
    <row r="267" customFormat="false" ht="14.25" hidden="false" customHeight="false" outlineLevel="0" collapsed="false">
      <c r="A267" s="35" t="s">
        <v>468</v>
      </c>
      <c r="B267" s="36" t="s">
        <v>469</v>
      </c>
      <c r="C267" s="37" t="s">
        <v>61</v>
      </c>
      <c r="D267" s="38"/>
      <c r="E267" s="10"/>
    </row>
    <row r="268" customFormat="false" ht="14.25" hidden="false" customHeight="false" outlineLevel="0" collapsed="false">
      <c r="A268" s="35" t="s">
        <v>470</v>
      </c>
      <c r="B268" s="36" t="s">
        <v>471</v>
      </c>
      <c r="C268" s="37" t="s">
        <v>61</v>
      </c>
      <c r="D268" s="38"/>
      <c r="E268" s="10"/>
    </row>
    <row r="269" customFormat="false" ht="14.25" hidden="false" customHeight="false" outlineLevel="0" collapsed="false">
      <c r="A269" s="35" t="s">
        <v>472</v>
      </c>
      <c r="B269" s="36" t="s">
        <v>473</v>
      </c>
      <c r="C269" s="37" t="s">
        <v>61</v>
      </c>
      <c r="D269" s="38"/>
      <c r="E269" s="10"/>
    </row>
    <row r="270" customFormat="false" ht="14.25" hidden="false" customHeight="false" outlineLevel="0" collapsed="false">
      <c r="A270" s="35" t="s">
        <v>474</v>
      </c>
      <c r="B270" s="36" t="s">
        <v>475</v>
      </c>
      <c r="C270" s="37" t="s">
        <v>61</v>
      </c>
      <c r="D270" s="38"/>
      <c r="E270" s="10"/>
    </row>
    <row r="271" customFormat="false" ht="14.25" hidden="false" customHeight="false" outlineLevel="0" collapsed="false">
      <c r="A271" s="35" t="s">
        <v>476</v>
      </c>
      <c r="B271" s="36" t="s">
        <v>477</v>
      </c>
      <c r="C271" s="37" t="s">
        <v>61</v>
      </c>
      <c r="D271" s="38"/>
      <c r="E271" s="10"/>
    </row>
    <row r="272" customFormat="false" ht="14.25" hidden="false" customHeight="false" outlineLevel="0" collapsed="false">
      <c r="A272" s="35" t="s">
        <v>478</v>
      </c>
      <c r="B272" s="36" t="s">
        <v>479</v>
      </c>
      <c r="C272" s="37" t="s">
        <v>61</v>
      </c>
      <c r="D272" s="38"/>
      <c r="E272" s="10"/>
    </row>
    <row r="273" customFormat="false" ht="14.25" hidden="false" customHeight="false" outlineLevel="0" collapsed="false">
      <c r="A273" s="35" t="s">
        <v>480</v>
      </c>
      <c r="B273" s="36" t="s">
        <v>481</v>
      </c>
      <c r="C273" s="37" t="s">
        <v>61</v>
      </c>
      <c r="D273" s="38"/>
      <c r="E273" s="10"/>
    </row>
    <row r="274" customFormat="false" ht="14.25" hidden="false" customHeight="false" outlineLevel="0" collapsed="false">
      <c r="A274" s="35" t="s">
        <v>482</v>
      </c>
      <c r="B274" s="36" t="s">
        <v>483</v>
      </c>
      <c r="C274" s="37" t="s">
        <v>61</v>
      </c>
      <c r="D274" s="38"/>
      <c r="E274" s="10"/>
    </row>
    <row r="275" customFormat="false" ht="14.25" hidden="false" customHeight="false" outlineLevel="0" collapsed="false">
      <c r="A275" s="35" t="s">
        <v>484</v>
      </c>
      <c r="B275" s="36" t="s">
        <v>485</v>
      </c>
      <c r="C275" s="37" t="s">
        <v>61</v>
      </c>
      <c r="D275" s="38"/>
      <c r="E275" s="10"/>
    </row>
    <row r="276" customFormat="false" ht="14.25" hidden="false" customHeight="false" outlineLevel="0" collapsed="false">
      <c r="A276" s="35" t="s">
        <v>486</v>
      </c>
      <c r="B276" s="36" t="s">
        <v>487</v>
      </c>
      <c r="C276" s="37" t="s">
        <v>61</v>
      </c>
      <c r="D276" s="38"/>
      <c r="E276" s="10"/>
    </row>
    <row r="277" customFormat="false" ht="14.25" hidden="false" customHeight="false" outlineLevel="0" collapsed="false">
      <c r="A277" s="35" t="s">
        <v>488</v>
      </c>
      <c r="B277" s="36" t="s">
        <v>489</v>
      </c>
      <c r="C277" s="37" t="s">
        <v>61</v>
      </c>
      <c r="D277" s="38"/>
      <c r="E277" s="10"/>
    </row>
    <row r="278" customFormat="false" ht="14.25" hidden="false" customHeight="false" outlineLevel="0" collapsed="false">
      <c r="A278" s="35" t="s">
        <v>490</v>
      </c>
      <c r="B278" s="36" t="s">
        <v>491</v>
      </c>
      <c r="C278" s="37" t="s">
        <v>61</v>
      </c>
      <c r="D278" s="38"/>
      <c r="E278" s="10"/>
    </row>
    <row r="279" customFormat="false" ht="14.25" hidden="false" customHeight="false" outlineLevel="0" collapsed="false">
      <c r="A279" s="35" t="s">
        <v>492</v>
      </c>
      <c r="B279" s="36" t="s">
        <v>493</v>
      </c>
      <c r="C279" s="37" t="s">
        <v>61</v>
      </c>
      <c r="D279" s="38"/>
      <c r="E279" s="10"/>
    </row>
    <row r="280" customFormat="false" ht="14.25" hidden="false" customHeight="false" outlineLevel="0" collapsed="false">
      <c r="A280" s="35" t="s">
        <v>494</v>
      </c>
      <c r="B280" s="36" t="s">
        <v>495</v>
      </c>
      <c r="C280" s="37" t="s">
        <v>61</v>
      </c>
      <c r="D280" s="38"/>
      <c r="E280" s="10"/>
    </row>
    <row r="281" customFormat="false" ht="14.25" hidden="false" customHeight="false" outlineLevel="0" collapsed="false">
      <c r="A281" s="35" t="s">
        <v>496</v>
      </c>
      <c r="B281" s="36" t="s">
        <v>497</v>
      </c>
      <c r="C281" s="37" t="s">
        <v>61</v>
      </c>
      <c r="D281" s="38"/>
      <c r="E281" s="10"/>
    </row>
    <row r="282" customFormat="false" ht="14.25" hidden="false" customHeight="false" outlineLevel="0" collapsed="false">
      <c r="A282" s="35" t="s">
        <v>498</v>
      </c>
      <c r="B282" s="36" t="s">
        <v>499</v>
      </c>
      <c r="C282" s="37" t="s">
        <v>61</v>
      </c>
      <c r="D282" s="38"/>
      <c r="E282" s="10"/>
    </row>
    <row r="283" customFormat="false" ht="14.25" hidden="false" customHeight="false" outlineLevel="0" collapsed="false">
      <c r="A283" s="35" t="s">
        <v>500</v>
      </c>
      <c r="B283" s="36" t="s">
        <v>501</v>
      </c>
      <c r="C283" s="37" t="s">
        <v>61</v>
      </c>
      <c r="D283" s="38"/>
      <c r="E283" s="10"/>
    </row>
    <row r="284" customFormat="false" ht="14.25" hidden="false" customHeight="false" outlineLevel="0" collapsed="false">
      <c r="A284" s="35" t="s">
        <v>502</v>
      </c>
      <c r="B284" s="36" t="s">
        <v>503</v>
      </c>
      <c r="C284" s="37" t="s">
        <v>61</v>
      </c>
      <c r="D284" s="38"/>
      <c r="E284" s="10"/>
    </row>
    <row r="285" customFormat="false" ht="14.25" hidden="false" customHeight="false" outlineLevel="0" collapsed="false">
      <c r="A285" s="35" t="s">
        <v>504</v>
      </c>
      <c r="B285" s="36" t="s">
        <v>505</v>
      </c>
      <c r="C285" s="37" t="s">
        <v>61</v>
      </c>
      <c r="D285" s="38"/>
      <c r="E285" s="10"/>
    </row>
    <row r="286" customFormat="false" ht="14.25" hidden="false" customHeight="false" outlineLevel="0" collapsed="false">
      <c r="A286" s="35" t="s">
        <v>506</v>
      </c>
      <c r="B286" s="36" t="s">
        <v>507</v>
      </c>
      <c r="C286" s="37" t="s">
        <v>61</v>
      </c>
      <c r="D286" s="38"/>
      <c r="E286" s="10"/>
    </row>
    <row r="287" customFormat="false" ht="14.25" hidden="false" customHeight="false" outlineLevel="0" collapsed="false">
      <c r="A287" s="35" t="s">
        <v>508</v>
      </c>
      <c r="B287" s="36" t="s">
        <v>509</v>
      </c>
      <c r="C287" s="37" t="s">
        <v>61</v>
      </c>
      <c r="D287" s="38"/>
      <c r="E287" s="10"/>
    </row>
    <row r="288" customFormat="false" ht="14.25" hidden="false" customHeight="false" outlineLevel="0" collapsed="false">
      <c r="A288" s="35" t="s">
        <v>510</v>
      </c>
      <c r="B288" s="36" t="s">
        <v>511</v>
      </c>
      <c r="C288" s="37" t="s">
        <v>61</v>
      </c>
      <c r="D288" s="38"/>
      <c r="E288" s="10"/>
    </row>
    <row r="289" customFormat="false" ht="14.25" hidden="false" customHeight="false" outlineLevel="0" collapsed="false">
      <c r="A289" s="35" t="s">
        <v>512</v>
      </c>
      <c r="B289" s="36" t="s">
        <v>513</v>
      </c>
      <c r="C289" s="37" t="s">
        <v>61</v>
      </c>
      <c r="D289" s="38"/>
      <c r="E289" s="10"/>
    </row>
    <row r="290" customFormat="false" ht="14.25" hidden="false" customHeight="false" outlineLevel="0" collapsed="false">
      <c r="A290" s="35" t="s">
        <v>514</v>
      </c>
      <c r="B290" s="36" t="s">
        <v>515</v>
      </c>
      <c r="C290" s="37" t="s">
        <v>61</v>
      </c>
      <c r="D290" s="38"/>
      <c r="E290" s="10"/>
    </row>
    <row r="291" customFormat="false" ht="14.25" hidden="false" customHeight="false" outlineLevel="0" collapsed="false">
      <c r="A291" s="35" t="s">
        <v>516</v>
      </c>
      <c r="B291" s="36" t="s">
        <v>517</v>
      </c>
      <c r="C291" s="37" t="s">
        <v>61</v>
      </c>
      <c r="D291" s="38"/>
      <c r="E291" s="10"/>
    </row>
    <row r="292" customFormat="false" ht="14.25" hidden="false" customHeight="false" outlineLevel="0" collapsed="false">
      <c r="A292" s="35" t="s">
        <v>518</v>
      </c>
      <c r="B292" s="36" t="s">
        <v>519</v>
      </c>
      <c r="C292" s="37" t="s">
        <v>61</v>
      </c>
      <c r="D292" s="38"/>
      <c r="E292" s="10"/>
    </row>
    <row r="293" customFormat="false" ht="14.25" hidden="false" customHeight="false" outlineLevel="0" collapsed="false">
      <c r="A293" s="35" t="s">
        <v>520</v>
      </c>
      <c r="B293" s="36" t="s">
        <v>521</v>
      </c>
      <c r="C293" s="37" t="s">
        <v>61</v>
      </c>
      <c r="D293" s="38"/>
      <c r="E293" s="10"/>
    </row>
    <row r="294" customFormat="false" ht="14.25" hidden="false" customHeight="false" outlineLevel="0" collapsed="false">
      <c r="A294" s="35" t="s">
        <v>522</v>
      </c>
      <c r="B294" s="36" t="s">
        <v>523</v>
      </c>
      <c r="C294" s="37" t="s">
        <v>61</v>
      </c>
      <c r="D294" s="38"/>
      <c r="E294" s="10"/>
    </row>
    <row r="295" customFormat="false" ht="14.25" hidden="false" customHeight="false" outlineLevel="0" collapsed="false">
      <c r="A295" s="35" t="s">
        <v>524</v>
      </c>
      <c r="B295" s="36" t="s">
        <v>525</v>
      </c>
      <c r="C295" s="37" t="s">
        <v>61</v>
      </c>
      <c r="D295" s="38"/>
      <c r="E295" s="10"/>
    </row>
    <row r="296" customFormat="false" ht="14.25" hidden="false" customHeight="false" outlineLevel="0" collapsed="false">
      <c r="A296" s="35" t="s">
        <v>526</v>
      </c>
      <c r="B296" s="36" t="s">
        <v>527</v>
      </c>
      <c r="C296" s="37" t="s">
        <v>61</v>
      </c>
      <c r="D296" s="38"/>
      <c r="E296" s="10"/>
    </row>
    <row r="297" customFormat="false" ht="14.25" hidden="false" customHeight="false" outlineLevel="0" collapsed="false">
      <c r="A297" s="35" t="s">
        <v>528</v>
      </c>
      <c r="B297" s="36" t="s">
        <v>529</v>
      </c>
      <c r="C297" s="37" t="s">
        <v>61</v>
      </c>
      <c r="D297" s="38"/>
      <c r="E297" s="10"/>
    </row>
    <row r="298" customFormat="false" ht="14.25" hidden="false" customHeight="false" outlineLevel="0" collapsed="false">
      <c r="A298" s="35" t="s">
        <v>530</v>
      </c>
      <c r="B298" s="36" t="s">
        <v>531</v>
      </c>
      <c r="C298" s="37" t="s">
        <v>61</v>
      </c>
      <c r="D298" s="38"/>
      <c r="E298" s="10"/>
    </row>
    <row r="299" customFormat="false" ht="14.25" hidden="false" customHeight="false" outlineLevel="0" collapsed="false">
      <c r="A299" s="35" t="s">
        <v>532</v>
      </c>
      <c r="B299" s="36" t="s">
        <v>533</v>
      </c>
      <c r="C299" s="37" t="s">
        <v>61</v>
      </c>
      <c r="D299" s="38"/>
      <c r="E299" s="10"/>
    </row>
    <row r="300" customFormat="false" ht="14.25" hidden="false" customHeight="false" outlineLevel="0" collapsed="false">
      <c r="A300" s="35" t="s">
        <v>534</v>
      </c>
      <c r="B300" s="36" t="s">
        <v>535</v>
      </c>
      <c r="C300" s="37" t="s">
        <v>61</v>
      </c>
      <c r="D300" s="38"/>
      <c r="E300" s="10"/>
    </row>
    <row r="301" customFormat="false" ht="14.25" hidden="false" customHeight="false" outlineLevel="0" collapsed="false">
      <c r="A301" s="35" t="s">
        <v>536</v>
      </c>
      <c r="B301" s="36" t="s">
        <v>537</v>
      </c>
      <c r="C301" s="37" t="s">
        <v>61</v>
      </c>
      <c r="D301" s="38"/>
      <c r="E301" s="10"/>
    </row>
    <row r="302" customFormat="false" ht="14.25" hidden="false" customHeight="false" outlineLevel="0" collapsed="false">
      <c r="A302" s="35" t="s">
        <v>538</v>
      </c>
      <c r="B302" s="36" t="s">
        <v>539</v>
      </c>
      <c r="C302" s="37" t="s">
        <v>61</v>
      </c>
      <c r="D302" s="38"/>
      <c r="E302" s="10"/>
    </row>
    <row r="303" customFormat="false" ht="14.25" hidden="false" customHeight="false" outlineLevel="0" collapsed="false">
      <c r="A303" s="35" t="s">
        <v>540</v>
      </c>
      <c r="B303" s="36" t="s">
        <v>541</v>
      </c>
      <c r="C303" s="37" t="s">
        <v>61</v>
      </c>
      <c r="D303" s="38"/>
      <c r="E303" s="10"/>
    </row>
    <row r="304" customFormat="false" ht="14.25" hidden="false" customHeight="false" outlineLevel="0" collapsed="false">
      <c r="A304" s="35" t="s">
        <v>542</v>
      </c>
      <c r="B304" s="36" t="s">
        <v>543</v>
      </c>
      <c r="C304" s="37" t="s">
        <v>61</v>
      </c>
      <c r="D304" s="38"/>
      <c r="E304" s="10"/>
    </row>
    <row r="305" customFormat="false" ht="14.25" hidden="false" customHeight="false" outlineLevel="0" collapsed="false">
      <c r="A305" s="35" t="s">
        <v>544</v>
      </c>
      <c r="B305" s="36" t="s">
        <v>545</v>
      </c>
      <c r="C305" s="37" t="s">
        <v>61</v>
      </c>
      <c r="D305" s="38"/>
      <c r="E305" s="10"/>
    </row>
    <row r="306" customFormat="false" ht="14.25" hidden="false" customHeight="false" outlineLevel="0" collapsed="false">
      <c r="A306" s="35" t="s">
        <v>546</v>
      </c>
      <c r="B306" s="36" t="s">
        <v>547</v>
      </c>
      <c r="C306" s="37" t="s">
        <v>61</v>
      </c>
      <c r="D306" s="38"/>
      <c r="E306" s="10"/>
    </row>
    <row r="307" customFormat="false" ht="14.25" hidden="false" customHeight="false" outlineLevel="0" collapsed="false">
      <c r="A307" s="35" t="s">
        <v>548</v>
      </c>
      <c r="B307" s="36" t="s">
        <v>549</v>
      </c>
      <c r="C307" s="37" t="s">
        <v>61</v>
      </c>
      <c r="D307" s="38"/>
      <c r="E307" s="10"/>
    </row>
    <row r="308" customFormat="false" ht="14.25" hidden="false" customHeight="false" outlineLevel="0" collapsed="false">
      <c r="A308" s="35" t="s">
        <v>550</v>
      </c>
      <c r="B308" s="36" t="s">
        <v>551</v>
      </c>
      <c r="C308" s="37" t="s">
        <v>61</v>
      </c>
      <c r="D308" s="38"/>
      <c r="E308" s="10"/>
    </row>
    <row r="309" customFormat="false" ht="14.25" hidden="false" customHeight="false" outlineLevel="0" collapsed="false">
      <c r="A309" s="35" t="s">
        <v>552</v>
      </c>
      <c r="B309" s="36" t="s">
        <v>553</v>
      </c>
      <c r="C309" s="37" t="s">
        <v>61</v>
      </c>
      <c r="D309" s="38"/>
      <c r="E309" s="10"/>
    </row>
    <row r="310" customFormat="false" ht="14.25" hidden="false" customHeight="false" outlineLevel="0" collapsed="false">
      <c r="A310" s="35" t="s">
        <v>554</v>
      </c>
      <c r="B310" s="36" t="s">
        <v>555</v>
      </c>
      <c r="C310" s="37" t="s">
        <v>61</v>
      </c>
      <c r="D310" s="38"/>
      <c r="E310" s="10"/>
    </row>
    <row r="311" customFormat="false" ht="14.25" hidden="false" customHeight="false" outlineLevel="0" collapsed="false">
      <c r="A311" s="35" t="s">
        <v>556</v>
      </c>
      <c r="B311" s="36" t="s">
        <v>557</v>
      </c>
      <c r="C311" s="37" t="s">
        <v>61</v>
      </c>
      <c r="D311" s="38"/>
      <c r="E311" s="10"/>
    </row>
    <row r="312" customFormat="false" ht="14.25" hidden="false" customHeight="false" outlineLevel="0" collapsed="false">
      <c r="A312" s="35" t="s">
        <v>558</v>
      </c>
      <c r="B312" s="36" t="s">
        <v>559</v>
      </c>
      <c r="C312" s="37" t="s">
        <v>61</v>
      </c>
      <c r="D312" s="38"/>
      <c r="E312" s="10"/>
    </row>
    <row r="313" customFormat="false" ht="14.25" hidden="false" customHeight="false" outlineLevel="0" collapsed="false">
      <c r="A313" s="35" t="s">
        <v>560</v>
      </c>
      <c r="B313" s="36" t="s">
        <v>561</v>
      </c>
      <c r="C313" s="37" t="s">
        <v>61</v>
      </c>
      <c r="D313" s="38"/>
      <c r="E313" s="10"/>
    </row>
    <row r="314" customFormat="false" ht="14.25" hidden="false" customHeight="false" outlineLevel="0" collapsed="false">
      <c r="A314" s="35" t="s">
        <v>562</v>
      </c>
      <c r="B314" s="36" t="s">
        <v>563</v>
      </c>
      <c r="C314" s="37" t="s">
        <v>61</v>
      </c>
      <c r="D314" s="38"/>
      <c r="E314" s="10"/>
    </row>
    <row r="315" customFormat="false" ht="14.25" hidden="false" customHeight="false" outlineLevel="0" collapsed="false">
      <c r="A315" s="35" t="s">
        <v>564</v>
      </c>
      <c r="B315" s="36" t="s">
        <v>565</v>
      </c>
      <c r="C315" s="37" t="s">
        <v>61</v>
      </c>
      <c r="D315" s="38"/>
      <c r="E315" s="10"/>
    </row>
    <row r="316" customFormat="false" ht="14.25" hidden="false" customHeight="false" outlineLevel="0" collapsed="false">
      <c r="A316" s="35" t="s">
        <v>566</v>
      </c>
      <c r="B316" s="36" t="s">
        <v>567</v>
      </c>
      <c r="C316" s="37" t="s">
        <v>61</v>
      </c>
      <c r="D316" s="38"/>
      <c r="E316" s="10"/>
    </row>
    <row r="317" customFormat="false" ht="14.25" hidden="false" customHeight="false" outlineLevel="0" collapsed="false">
      <c r="A317" s="35" t="s">
        <v>568</v>
      </c>
      <c r="B317" s="36" t="s">
        <v>569</v>
      </c>
      <c r="C317" s="37" t="s">
        <v>61</v>
      </c>
      <c r="D317" s="38"/>
      <c r="E317" s="10"/>
    </row>
    <row r="318" customFormat="false" ht="14.25" hidden="false" customHeight="false" outlineLevel="0" collapsed="false">
      <c r="A318" s="35" t="s">
        <v>570</v>
      </c>
      <c r="B318" s="36" t="s">
        <v>571</v>
      </c>
      <c r="C318" s="37" t="s">
        <v>61</v>
      </c>
      <c r="D318" s="38"/>
      <c r="E318" s="10"/>
    </row>
    <row r="319" customFormat="false" ht="14.25" hidden="false" customHeight="false" outlineLevel="0" collapsed="false">
      <c r="A319" s="35" t="s">
        <v>572</v>
      </c>
      <c r="B319" s="36" t="s">
        <v>573</v>
      </c>
      <c r="C319" s="37" t="s">
        <v>61</v>
      </c>
      <c r="D319" s="38"/>
      <c r="E319" s="10"/>
    </row>
    <row r="320" customFormat="false" ht="14.25" hidden="false" customHeight="false" outlineLevel="0" collapsed="false">
      <c r="A320" s="35" t="s">
        <v>574</v>
      </c>
      <c r="B320" s="36" t="s">
        <v>575</v>
      </c>
      <c r="C320" s="37" t="s">
        <v>61</v>
      </c>
      <c r="D320" s="38"/>
      <c r="E320" s="10"/>
    </row>
    <row r="321" customFormat="false" ht="14.25" hidden="false" customHeight="false" outlineLevel="0" collapsed="false">
      <c r="A321" s="35" t="s">
        <v>576</v>
      </c>
      <c r="B321" s="36" t="s">
        <v>577</v>
      </c>
      <c r="C321" s="37" t="s">
        <v>61</v>
      </c>
      <c r="D321" s="38"/>
      <c r="E321" s="10"/>
    </row>
    <row r="322" customFormat="false" ht="14.25" hidden="false" customHeight="false" outlineLevel="0" collapsed="false">
      <c r="A322" s="35" t="s">
        <v>578</v>
      </c>
      <c r="B322" s="36" t="s">
        <v>579</v>
      </c>
      <c r="C322" s="37" t="s">
        <v>61</v>
      </c>
      <c r="D322" s="38"/>
      <c r="E322" s="10"/>
    </row>
    <row r="323" customFormat="false" ht="14.25" hidden="false" customHeight="false" outlineLevel="0" collapsed="false">
      <c r="A323" s="35" t="s">
        <v>580</v>
      </c>
      <c r="B323" s="36" t="s">
        <v>581</v>
      </c>
      <c r="C323" s="37" t="s">
        <v>61</v>
      </c>
      <c r="D323" s="38"/>
      <c r="E323" s="10"/>
    </row>
    <row r="324" customFormat="false" ht="14.25" hidden="false" customHeight="false" outlineLevel="0" collapsed="false">
      <c r="A324" s="35" t="s">
        <v>582</v>
      </c>
      <c r="B324" s="36" t="s">
        <v>583</v>
      </c>
      <c r="C324" s="37" t="s">
        <v>61</v>
      </c>
      <c r="D324" s="38"/>
      <c r="E324" s="10"/>
    </row>
    <row r="325" customFormat="false" ht="14.25" hidden="false" customHeight="false" outlineLevel="0" collapsed="false">
      <c r="A325" s="35" t="s">
        <v>584</v>
      </c>
      <c r="B325" s="36" t="s">
        <v>585</v>
      </c>
      <c r="C325" s="37" t="s">
        <v>61</v>
      </c>
      <c r="D325" s="38"/>
      <c r="E325" s="10"/>
    </row>
    <row r="326" customFormat="false" ht="14.25" hidden="false" customHeight="false" outlineLevel="0" collapsed="false">
      <c r="A326" s="35" t="s">
        <v>586</v>
      </c>
      <c r="B326" s="36" t="s">
        <v>587</v>
      </c>
      <c r="C326" s="37" t="s">
        <v>61</v>
      </c>
      <c r="D326" s="38"/>
      <c r="E326" s="10"/>
    </row>
    <row r="327" customFormat="false" ht="14.25" hidden="false" customHeight="false" outlineLevel="0" collapsed="false">
      <c r="A327" s="31" t="s">
        <v>57</v>
      </c>
      <c r="B327" s="32" t="s">
        <v>588</v>
      </c>
      <c r="C327" s="33"/>
      <c r="D327" s="34"/>
      <c r="E327" s="15"/>
    </row>
    <row r="328" customFormat="false" ht="14.25" hidden="false" customHeight="false" outlineLevel="0" collapsed="false">
      <c r="A328" s="35" t="s">
        <v>589</v>
      </c>
      <c r="B328" s="36" t="s">
        <v>590</v>
      </c>
      <c r="C328" s="37" t="s">
        <v>61</v>
      </c>
      <c r="D328" s="38"/>
      <c r="E328" s="10"/>
    </row>
    <row r="329" customFormat="false" ht="14.25" hidden="false" customHeight="false" outlineLevel="0" collapsed="false">
      <c r="A329" s="35"/>
      <c r="B329" s="36" t="s">
        <v>591</v>
      </c>
      <c r="C329" s="37" t="s">
        <v>61</v>
      </c>
      <c r="D329" s="38"/>
      <c r="E329" s="10"/>
    </row>
    <row r="330" customFormat="false" ht="14.25" hidden="false" customHeight="false" outlineLevel="0" collapsed="false">
      <c r="A330" s="35" t="s">
        <v>592</v>
      </c>
      <c r="B330" s="36" t="s">
        <v>593</v>
      </c>
      <c r="C330" s="37" t="s">
        <v>61</v>
      </c>
      <c r="D330" s="38"/>
      <c r="E330" s="10"/>
    </row>
    <row r="331" customFormat="false" ht="14.25" hidden="false" customHeight="false" outlineLevel="0" collapsed="false">
      <c r="A331" s="35" t="s">
        <v>594</v>
      </c>
      <c r="B331" s="36" t="s">
        <v>595</v>
      </c>
      <c r="C331" s="37" t="s">
        <v>61</v>
      </c>
      <c r="D331" s="38"/>
      <c r="E331" s="10"/>
    </row>
    <row r="332" customFormat="false" ht="14.25" hidden="false" customHeight="false" outlineLevel="0" collapsed="false">
      <c r="A332" s="35" t="s">
        <v>596</v>
      </c>
      <c r="B332" s="36" t="s">
        <v>597</v>
      </c>
      <c r="C332" s="37" t="s">
        <v>61</v>
      </c>
      <c r="D332" s="38"/>
      <c r="E332" s="10"/>
    </row>
    <row r="333" customFormat="false" ht="14.25" hidden="false" customHeight="false" outlineLevel="0" collapsed="false">
      <c r="A333" s="35" t="s">
        <v>598</v>
      </c>
      <c r="B333" s="36" t="s">
        <v>599</v>
      </c>
      <c r="C333" s="37" t="s">
        <v>61</v>
      </c>
      <c r="D333" s="38"/>
      <c r="E333" s="10"/>
    </row>
    <row r="334" customFormat="false" ht="14.25" hidden="false" customHeight="false" outlineLevel="0" collapsed="false">
      <c r="A334" s="35" t="s">
        <v>600</v>
      </c>
      <c r="B334" s="36" t="s">
        <v>601</v>
      </c>
      <c r="C334" s="37" t="s">
        <v>61</v>
      </c>
      <c r="D334" s="38"/>
      <c r="E334" s="10"/>
    </row>
    <row r="335" customFormat="false" ht="14.25" hidden="false" customHeight="false" outlineLevel="0" collapsed="false">
      <c r="A335" s="35" t="s">
        <v>602</v>
      </c>
      <c r="B335" s="36" t="s">
        <v>603</v>
      </c>
      <c r="C335" s="37" t="s">
        <v>61</v>
      </c>
      <c r="D335" s="38"/>
      <c r="E335" s="10"/>
    </row>
    <row r="336" customFormat="false" ht="14.25" hidden="false" customHeight="false" outlineLevel="0" collapsed="false">
      <c r="A336" s="43"/>
      <c r="B336" s="20"/>
      <c r="C336" s="19"/>
      <c r="D336" s="45"/>
      <c r="E336" s="7"/>
    </row>
    <row r="337" customFormat="false" ht="14.25" hidden="false" customHeight="false" outlineLevel="0" collapsed="false">
      <c r="A337" s="35" t="s">
        <v>604</v>
      </c>
      <c r="B337" s="36" t="s">
        <v>605</v>
      </c>
      <c r="C337" s="37" t="s">
        <v>61</v>
      </c>
      <c r="D337" s="38"/>
      <c r="E337" s="10"/>
    </row>
    <row r="338" customFormat="false" ht="14.25" hidden="false" customHeight="false" outlineLevel="0" collapsed="false">
      <c r="A338" s="35" t="s">
        <v>606</v>
      </c>
      <c r="B338" s="36" t="s">
        <v>607</v>
      </c>
      <c r="C338" s="37" t="s">
        <v>61</v>
      </c>
      <c r="D338" s="38"/>
      <c r="E338" s="10"/>
    </row>
    <row r="339" customFormat="false" ht="14.25" hidden="false" customHeight="false" outlineLevel="0" collapsed="false">
      <c r="A339" s="35" t="s">
        <v>608</v>
      </c>
      <c r="B339" s="36" t="s">
        <v>609</v>
      </c>
      <c r="C339" s="37" t="s">
        <v>61</v>
      </c>
      <c r="D339" s="38"/>
      <c r="E339" s="10"/>
    </row>
    <row r="340" customFormat="false" ht="14.25" hidden="false" customHeight="false" outlineLevel="0" collapsed="false">
      <c r="A340" s="35" t="s">
        <v>610</v>
      </c>
      <c r="B340" s="36" t="s">
        <v>611</v>
      </c>
      <c r="C340" s="37" t="s">
        <v>61</v>
      </c>
      <c r="D340" s="38"/>
      <c r="E340" s="10"/>
    </row>
    <row r="341" customFormat="false" ht="14.25" hidden="false" customHeight="false" outlineLevel="0" collapsed="false">
      <c r="A341" s="35" t="s">
        <v>612</v>
      </c>
      <c r="B341" s="36" t="s">
        <v>613</v>
      </c>
      <c r="C341" s="37" t="s">
        <v>61</v>
      </c>
      <c r="D341" s="38"/>
      <c r="E341" s="10"/>
    </row>
    <row r="342" customFormat="false" ht="14.25" hidden="false" customHeight="false" outlineLevel="0" collapsed="false">
      <c r="A342" s="35" t="s">
        <v>614</v>
      </c>
      <c r="B342" s="36" t="s">
        <v>615</v>
      </c>
      <c r="C342" s="37" t="s">
        <v>61</v>
      </c>
      <c r="D342" s="38"/>
      <c r="E342" s="10"/>
    </row>
    <row r="343" customFormat="false" ht="14.25" hidden="false" customHeight="false" outlineLevel="0" collapsed="false">
      <c r="A343" s="35" t="s">
        <v>616</v>
      </c>
      <c r="B343" s="36" t="s">
        <v>617</v>
      </c>
      <c r="C343" s="37" t="s">
        <v>61</v>
      </c>
      <c r="D343" s="38"/>
      <c r="E343" s="10"/>
    </row>
    <row r="344" customFormat="false" ht="14.25" hidden="false" customHeight="false" outlineLevel="0" collapsed="false">
      <c r="A344" s="35" t="s">
        <v>618</v>
      </c>
      <c r="B344" s="36" t="s">
        <v>619</v>
      </c>
      <c r="C344" s="37" t="s">
        <v>61</v>
      </c>
      <c r="D344" s="38"/>
      <c r="E344" s="10"/>
    </row>
    <row r="345" customFormat="false" ht="14.25" hidden="false" customHeight="false" outlineLevel="0" collapsed="false">
      <c r="A345" s="35" t="s">
        <v>620</v>
      </c>
      <c r="B345" s="36" t="s">
        <v>621</v>
      </c>
      <c r="C345" s="37" t="s">
        <v>61</v>
      </c>
      <c r="D345" s="38"/>
      <c r="E345" s="10"/>
    </row>
    <row r="346" customFormat="false" ht="14.25" hidden="false" customHeight="false" outlineLevel="0" collapsed="false">
      <c r="A346" s="35" t="s">
        <v>622</v>
      </c>
      <c r="B346" s="36" t="s">
        <v>623</v>
      </c>
      <c r="C346" s="37" t="s">
        <v>61</v>
      </c>
      <c r="D346" s="38"/>
      <c r="E346" s="10"/>
    </row>
    <row r="347" customFormat="false" ht="14.25" hidden="false" customHeight="false" outlineLevel="0" collapsed="false">
      <c r="A347" s="35" t="s">
        <v>624</v>
      </c>
      <c r="B347" s="36" t="s">
        <v>625</v>
      </c>
      <c r="C347" s="37" t="s">
        <v>61</v>
      </c>
      <c r="D347" s="38"/>
      <c r="E347" s="10"/>
    </row>
    <row r="348" customFormat="false" ht="14.25" hidden="false" customHeight="false" outlineLevel="0" collapsed="false">
      <c r="A348" s="35" t="s">
        <v>626</v>
      </c>
      <c r="B348" s="36" t="s">
        <v>627</v>
      </c>
      <c r="C348" s="37" t="s">
        <v>61</v>
      </c>
      <c r="D348" s="38"/>
      <c r="E348" s="10"/>
    </row>
    <row r="349" customFormat="false" ht="14.25" hidden="false" customHeight="false" outlineLevel="0" collapsed="false">
      <c r="A349" s="35" t="s">
        <v>628</v>
      </c>
      <c r="B349" s="36" t="s">
        <v>629</v>
      </c>
      <c r="C349" s="37" t="s">
        <v>61</v>
      </c>
      <c r="D349" s="38"/>
      <c r="E349" s="10"/>
    </row>
    <row r="350" customFormat="false" ht="14.25" hidden="false" customHeight="false" outlineLevel="0" collapsed="false">
      <c r="A350" s="31" t="s">
        <v>57</v>
      </c>
      <c r="B350" s="32" t="s">
        <v>630</v>
      </c>
      <c r="C350" s="33"/>
      <c r="D350" s="34"/>
      <c r="E350" s="15"/>
    </row>
    <row r="351" customFormat="false" ht="119.25" hidden="false" customHeight="true" outlineLevel="0" collapsed="false">
      <c r="A351" s="35" t="s">
        <v>631</v>
      </c>
      <c r="B351" s="36" t="s">
        <v>632</v>
      </c>
      <c r="C351" s="37" t="s">
        <v>61</v>
      </c>
      <c r="D351" s="38"/>
      <c r="E351" s="10"/>
    </row>
    <row r="352" customFormat="false" ht="14.25" hidden="false" customHeight="false" outlineLevel="0" collapsed="false">
      <c r="A352" s="31" t="s">
        <v>57</v>
      </c>
      <c r="B352" s="32" t="s">
        <v>633</v>
      </c>
      <c r="C352" s="33"/>
      <c r="D352" s="34"/>
      <c r="E352" s="15"/>
    </row>
    <row r="353" customFormat="false" ht="119.25" hidden="false" customHeight="true" outlineLevel="0" collapsed="false">
      <c r="A353" s="35" t="s">
        <v>634</v>
      </c>
      <c r="B353" s="36" t="s">
        <v>635</v>
      </c>
      <c r="C353" s="37" t="s">
        <v>61</v>
      </c>
      <c r="D353" s="38"/>
      <c r="E353" s="10"/>
    </row>
    <row r="354" customFormat="false" ht="14.25" hidden="false" customHeight="false" outlineLevel="0" collapsed="false">
      <c r="A354" s="26" t="n">
        <v>5</v>
      </c>
      <c r="B354" s="27" t="s">
        <v>636</v>
      </c>
      <c r="C354" s="28"/>
      <c r="D354" s="41"/>
      <c r="E354" s="30"/>
    </row>
    <row r="355" customFormat="false" ht="14.25" hidden="false" customHeight="false" outlineLevel="0" collapsed="false">
      <c r="A355" s="31" t="s">
        <v>57</v>
      </c>
      <c r="B355" s="32" t="s">
        <v>363</v>
      </c>
      <c r="C355" s="33"/>
      <c r="D355" s="34"/>
      <c r="E355" s="15"/>
    </row>
    <row r="356" customFormat="false" ht="14.25" hidden="false" customHeight="false" outlineLevel="0" collapsed="false">
      <c r="A356" s="35" t="s">
        <v>637</v>
      </c>
      <c r="B356" s="36" t="s">
        <v>638</v>
      </c>
      <c r="C356" s="37" t="s">
        <v>61</v>
      </c>
      <c r="D356" s="38"/>
      <c r="E356" s="10"/>
    </row>
    <row r="357" customFormat="false" ht="14.25" hidden="false" customHeight="false" outlineLevel="0" collapsed="false">
      <c r="A357" s="35" t="s">
        <v>639</v>
      </c>
      <c r="B357" s="36" t="s">
        <v>640</v>
      </c>
      <c r="C357" s="37" t="s">
        <v>61</v>
      </c>
      <c r="D357" s="38"/>
      <c r="E357" s="10"/>
    </row>
    <row r="358" customFormat="false" ht="14.25" hidden="false" customHeight="false" outlineLevel="0" collapsed="false">
      <c r="A358" s="31" t="s">
        <v>57</v>
      </c>
      <c r="B358" s="32" t="s">
        <v>372</v>
      </c>
      <c r="C358" s="33"/>
      <c r="D358" s="34"/>
      <c r="E358" s="15"/>
    </row>
    <row r="359" customFormat="false" ht="14.25" hidden="false" customHeight="false" outlineLevel="0" collapsed="false">
      <c r="A359" s="35" t="s">
        <v>641</v>
      </c>
      <c r="B359" s="36" t="s">
        <v>642</v>
      </c>
      <c r="C359" s="37" t="s">
        <v>75</v>
      </c>
      <c r="D359" s="38"/>
      <c r="E359" s="10"/>
    </row>
    <row r="360" customFormat="false" ht="14.25" hidden="false" customHeight="false" outlineLevel="0" collapsed="false">
      <c r="A360" s="35" t="s">
        <v>643</v>
      </c>
      <c r="B360" s="36" t="s">
        <v>644</v>
      </c>
      <c r="C360" s="37" t="s">
        <v>75</v>
      </c>
      <c r="D360" s="38"/>
      <c r="E360" s="10"/>
    </row>
    <row r="361" customFormat="false" ht="14.25" hidden="false" customHeight="false" outlineLevel="0" collapsed="false">
      <c r="A361" s="31" t="s">
        <v>57</v>
      </c>
      <c r="B361" s="32" t="s">
        <v>115</v>
      </c>
      <c r="C361" s="33"/>
      <c r="D361" s="34"/>
      <c r="E361" s="15"/>
    </row>
    <row r="362" customFormat="false" ht="14.25" hidden="false" customHeight="false" outlineLevel="0" collapsed="false">
      <c r="A362" s="35" t="s">
        <v>645</v>
      </c>
      <c r="B362" s="36" t="s">
        <v>646</v>
      </c>
      <c r="C362" s="37" t="s">
        <v>61</v>
      </c>
      <c r="D362" s="38"/>
      <c r="E362" s="10"/>
    </row>
    <row r="363" customFormat="false" ht="14.25" hidden="false" customHeight="false" outlineLevel="0" collapsed="false">
      <c r="A363" s="35" t="s">
        <v>647</v>
      </c>
      <c r="B363" s="36" t="s">
        <v>648</v>
      </c>
      <c r="C363" s="37" t="s">
        <v>61</v>
      </c>
      <c r="D363" s="38"/>
      <c r="E363" s="10"/>
    </row>
    <row r="364" customFormat="false" ht="14.25" hidden="false" customHeight="false" outlineLevel="0" collapsed="false">
      <c r="A364" s="35" t="s">
        <v>649</v>
      </c>
      <c r="B364" s="36" t="s">
        <v>650</v>
      </c>
      <c r="C364" s="37" t="s">
        <v>61</v>
      </c>
      <c r="D364" s="38"/>
      <c r="E364" s="10"/>
    </row>
    <row r="365" customFormat="false" ht="14.25" hidden="false" customHeight="false" outlineLevel="0" collapsed="false">
      <c r="A365" s="35" t="s">
        <v>651</v>
      </c>
      <c r="B365" s="36" t="s">
        <v>652</v>
      </c>
      <c r="C365" s="37" t="s">
        <v>61</v>
      </c>
      <c r="D365" s="38"/>
      <c r="E365" s="10"/>
    </row>
    <row r="366" customFormat="false" ht="14.25" hidden="false" customHeight="false" outlineLevel="0" collapsed="false">
      <c r="A366" s="35" t="s">
        <v>653</v>
      </c>
      <c r="B366" s="36" t="s">
        <v>654</v>
      </c>
      <c r="C366" s="37" t="s">
        <v>61</v>
      </c>
      <c r="D366" s="38"/>
      <c r="E366" s="10"/>
    </row>
    <row r="367" customFormat="false" ht="14.25" hidden="false" customHeight="false" outlineLevel="0" collapsed="false">
      <c r="A367" s="35" t="s">
        <v>655</v>
      </c>
      <c r="B367" s="36" t="s">
        <v>656</v>
      </c>
      <c r="C367" s="37" t="s">
        <v>61</v>
      </c>
      <c r="D367" s="38"/>
      <c r="E367" s="10"/>
    </row>
    <row r="368" customFormat="false" ht="14.25" hidden="false" customHeight="false" outlineLevel="0" collapsed="false">
      <c r="A368" s="35" t="s">
        <v>657</v>
      </c>
      <c r="B368" s="36" t="s">
        <v>658</v>
      </c>
      <c r="C368" s="37" t="s">
        <v>61</v>
      </c>
      <c r="D368" s="38"/>
      <c r="E368" s="10"/>
    </row>
    <row r="369" customFormat="false" ht="14.25" hidden="false" customHeight="false" outlineLevel="0" collapsed="false">
      <c r="A369" s="35" t="s">
        <v>659</v>
      </c>
      <c r="B369" s="36" t="s">
        <v>660</v>
      </c>
      <c r="C369" s="37" t="s">
        <v>61</v>
      </c>
      <c r="D369" s="38"/>
      <c r="E369" s="10"/>
    </row>
    <row r="370" customFormat="false" ht="14.25" hidden="false" customHeight="false" outlineLevel="0" collapsed="false">
      <c r="A370" s="31" t="s">
        <v>57</v>
      </c>
      <c r="B370" s="32" t="s">
        <v>661</v>
      </c>
      <c r="C370" s="33"/>
      <c r="D370" s="34"/>
      <c r="E370" s="15"/>
    </row>
    <row r="371" customFormat="false" ht="14.25" hidden="false" customHeight="false" outlineLevel="0" collapsed="false">
      <c r="A371" s="35" t="s">
        <v>225</v>
      </c>
      <c r="B371" s="36" t="s">
        <v>662</v>
      </c>
      <c r="C371" s="37" t="s">
        <v>61</v>
      </c>
      <c r="D371" s="38"/>
      <c r="E371" s="10"/>
    </row>
    <row r="372" customFormat="false" ht="14.25" hidden="false" customHeight="false" outlineLevel="0" collapsed="false">
      <c r="A372" s="35" t="s">
        <v>227</v>
      </c>
      <c r="B372" s="36" t="s">
        <v>663</v>
      </c>
      <c r="C372" s="37" t="s">
        <v>61</v>
      </c>
      <c r="D372" s="38"/>
      <c r="E372" s="10"/>
    </row>
    <row r="373" customFormat="false" ht="14.25" hidden="false" customHeight="false" outlineLevel="0" collapsed="false">
      <c r="A373" s="26" t="n">
        <v>6</v>
      </c>
      <c r="B373" s="27" t="s">
        <v>664</v>
      </c>
      <c r="C373" s="28"/>
      <c r="D373" s="41"/>
      <c r="E373" s="30"/>
    </row>
    <row r="374" customFormat="false" ht="14.25" hidden="false" customHeight="false" outlineLevel="0" collapsed="false">
      <c r="A374" s="35" t="s">
        <v>665</v>
      </c>
      <c r="B374" s="36" t="s">
        <v>666</v>
      </c>
      <c r="C374" s="37" t="s">
        <v>61</v>
      </c>
      <c r="D374" s="38"/>
      <c r="E374" s="10"/>
    </row>
    <row r="375" customFormat="false" ht="14.25" hidden="false" customHeight="false" outlineLevel="0" collapsed="false">
      <c r="A375" s="35" t="s">
        <v>667</v>
      </c>
      <c r="B375" s="36" t="s">
        <v>668</v>
      </c>
      <c r="C375" s="37" t="s">
        <v>61</v>
      </c>
      <c r="D375" s="38"/>
      <c r="E375" s="10"/>
    </row>
    <row r="376" customFormat="false" ht="14.25" hidden="false" customHeight="false" outlineLevel="0" collapsed="false">
      <c r="A376" s="35" t="s">
        <v>669</v>
      </c>
      <c r="B376" s="36" t="s">
        <v>670</v>
      </c>
      <c r="C376" s="37" t="s">
        <v>61</v>
      </c>
      <c r="D376" s="38"/>
      <c r="E376" s="10"/>
    </row>
    <row r="377" customFormat="false" ht="14.25" hidden="false" customHeight="false" outlineLevel="0" collapsed="false">
      <c r="A377" s="35" t="s">
        <v>671</v>
      </c>
      <c r="B377" s="36" t="s">
        <v>672</v>
      </c>
      <c r="C377" s="37" t="s">
        <v>61</v>
      </c>
      <c r="D377" s="38"/>
      <c r="E377" s="10"/>
    </row>
    <row r="378" customFormat="false" ht="14.25" hidden="false" customHeight="false" outlineLevel="0" collapsed="false">
      <c r="A378" s="35" t="s">
        <v>673</v>
      </c>
      <c r="B378" s="36" t="s">
        <v>674</v>
      </c>
      <c r="C378" s="37" t="s">
        <v>61</v>
      </c>
      <c r="D378" s="38"/>
      <c r="E378" s="10"/>
    </row>
    <row r="379" customFormat="false" ht="14.25" hidden="false" customHeight="false" outlineLevel="0" collapsed="false">
      <c r="A379" s="35" t="s">
        <v>675</v>
      </c>
      <c r="B379" s="36" t="s">
        <v>676</v>
      </c>
      <c r="C379" s="37" t="s">
        <v>61</v>
      </c>
      <c r="D379" s="38"/>
      <c r="E379" s="10"/>
    </row>
    <row r="380" customFormat="false" ht="14.25" hidden="false" customHeight="false" outlineLevel="0" collapsed="false">
      <c r="A380" s="35" t="s">
        <v>677</v>
      </c>
      <c r="B380" s="36" t="s">
        <v>678</v>
      </c>
      <c r="C380" s="37" t="s">
        <v>61</v>
      </c>
      <c r="D380" s="38"/>
      <c r="E380" s="10"/>
    </row>
    <row r="381" customFormat="false" ht="14.25" hidden="false" customHeight="false" outlineLevel="0" collapsed="false">
      <c r="A381" s="35" t="s">
        <v>679</v>
      </c>
      <c r="B381" s="36" t="s">
        <v>680</v>
      </c>
      <c r="C381" s="37" t="s">
        <v>61</v>
      </c>
      <c r="D381" s="38"/>
      <c r="E381" s="10"/>
    </row>
    <row r="382" customFormat="false" ht="14.25" hidden="false" customHeight="false" outlineLevel="0" collapsed="false">
      <c r="A382" s="35" t="s">
        <v>681</v>
      </c>
      <c r="B382" s="36" t="s">
        <v>682</v>
      </c>
      <c r="C382" s="37" t="s">
        <v>61</v>
      </c>
      <c r="D382" s="38"/>
      <c r="E382" s="10"/>
    </row>
    <row r="383" customFormat="false" ht="14.25" hidden="false" customHeight="false" outlineLevel="0" collapsed="false">
      <c r="A383" s="35" t="s">
        <v>683</v>
      </c>
      <c r="B383" s="36" t="s">
        <v>684</v>
      </c>
      <c r="C383" s="37" t="s">
        <v>61</v>
      </c>
      <c r="D383" s="38"/>
      <c r="E383" s="10"/>
    </row>
    <row r="384" customFormat="false" ht="15" hidden="false" customHeight="true" outlineLevel="0" collapsed="false">
      <c r="A384" s="35" t="s">
        <v>685</v>
      </c>
      <c r="B384" s="36" t="s">
        <v>686</v>
      </c>
      <c r="C384" s="37" t="s">
        <v>61</v>
      </c>
      <c r="D384" s="38"/>
      <c r="E384" s="10"/>
    </row>
    <row r="385" customFormat="false" ht="14.25" hidden="false" customHeight="false" outlineLevel="0" collapsed="false">
      <c r="A385" s="26" t="n">
        <v>7</v>
      </c>
      <c r="B385" s="27" t="s">
        <v>687</v>
      </c>
      <c r="C385" s="28"/>
      <c r="D385" s="41"/>
      <c r="E385" s="30"/>
    </row>
    <row r="386" customFormat="false" ht="14.25" hidden="false" customHeight="false" outlineLevel="0" collapsed="false">
      <c r="A386" s="31" t="s">
        <v>57</v>
      </c>
      <c r="B386" s="32" t="s">
        <v>688</v>
      </c>
      <c r="C386" s="33"/>
      <c r="D386" s="34"/>
      <c r="E386" s="15"/>
    </row>
    <row r="387" customFormat="false" ht="14.25" hidden="false" customHeight="false" outlineLevel="0" collapsed="false">
      <c r="A387" s="35" t="s">
        <v>689</v>
      </c>
      <c r="B387" s="36" t="s">
        <v>690</v>
      </c>
      <c r="C387" s="37" t="s">
        <v>61</v>
      </c>
      <c r="D387" s="38" t="n">
        <f aca="false">SUMIFS(BD_REVIT!$H:$H,BD_REVIT!$C:$C,$A387)</f>
        <v>0</v>
      </c>
      <c r="E387" s="46" t="str">
        <f aca="false">IF(COUNTIF(BD_REVIT!$C:$C,$A387)&gt;0,"Revit","Manual")</f>
        <v>Manual</v>
      </c>
    </row>
    <row r="388" customFormat="false" ht="14.25" hidden="false" customHeight="false" outlineLevel="0" collapsed="false">
      <c r="A388" s="35" t="s">
        <v>691</v>
      </c>
      <c r="B388" s="36" t="s">
        <v>692</v>
      </c>
      <c r="C388" s="37" t="s">
        <v>61</v>
      </c>
      <c r="D388" s="38" t="n">
        <f aca="false">SUMIFS(BD_REVIT!$H:$H,BD_REVIT!$C:$C,$A388)</f>
        <v>0</v>
      </c>
      <c r="E388" s="46" t="str">
        <f aca="false">IF(COUNTIF(BD_REVIT!$C:$C,$A388)&gt;0,"Revit","Manual")</f>
        <v>Manual</v>
      </c>
    </row>
    <row r="389" customFormat="false" ht="14.25" hidden="false" customHeight="false" outlineLevel="0" collapsed="false">
      <c r="A389" s="35" t="s">
        <v>693</v>
      </c>
      <c r="B389" s="36" t="s">
        <v>694</v>
      </c>
      <c r="C389" s="37" t="s">
        <v>61</v>
      </c>
      <c r="D389" s="38" t="n">
        <f aca="false">SUMIFS(BD_REVIT!$H:$H,BD_REVIT!$C:$C,$A389)</f>
        <v>0</v>
      </c>
      <c r="E389" s="46" t="str">
        <f aca="false">IF(COUNTIF(BD_REVIT!$C:$C,$A389)&gt;0,"Revit","Manual")</f>
        <v>Manual</v>
      </c>
    </row>
    <row r="390" customFormat="false" ht="14.25" hidden="false" customHeight="false" outlineLevel="0" collapsed="false">
      <c r="A390" s="31" t="s">
        <v>57</v>
      </c>
      <c r="B390" s="32" t="s">
        <v>695</v>
      </c>
      <c r="C390" s="33"/>
      <c r="D390" s="42"/>
      <c r="E390" s="15"/>
    </row>
    <row r="391" customFormat="false" ht="72" hidden="false" customHeight="true" outlineLevel="0" collapsed="false">
      <c r="A391" s="35" t="s">
        <v>696</v>
      </c>
      <c r="B391" s="36" t="s">
        <v>697</v>
      </c>
      <c r="C391" s="37" t="s">
        <v>61</v>
      </c>
      <c r="D391" s="38" t="n">
        <f aca="false">SUMIFS(BD_REVIT!$H:$H,BD_REVIT!$C:$C,$A391)</f>
        <v>0</v>
      </c>
      <c r="E391" s="46" t="str">
        <f aca="false">IF(COUNTIF(BD_REVIT!$C:$C,$A391)&gt;0,"Revit","Manual")</f>
        <v>Manual</v>
      </c>
    </row>
    <row r="392" customFormat="false" ht="14.25" hidden="false" customHeight="false" outlineLevel="0" collapsed="false">
      <c r="A392" s="31" t="s">
        <v>57</v>
      </c>
      <c r="B392" s="32" t="s">
        <v>19</v>
      </c>
      <c r="C392" s="33"/>
      <c r="D392" s="42"/>
      <c r="E392" s="15"/>
    </row>
    <row r="393" customFormat="false" ht="14.25" hidden="false" customHeight="false" outlineLevel="0" collapsed="false">
      <c r="A393" s="35" t="s">
        <v>698</v>
      </c>
      <c r="B393" s="36" t="s">
        <v>699</v>
      </c>
      <c r="C393" s="37" t="s">
        <v>61</v>
      </c>
      <c r="D393" s="38" t="n">
        <f aca="false">SUMIFS(BD_REVIT!$H:$H,BD_REVIT!$C:$C,$A393)</f>
        <v>118</v>
      </c>
      <c r="E393" s="46" t="str">
        <f aca="false">IF(COUNTIF(BD_REVIT!$C:$C,$A393)&gt;0,"Revit","Manual")</f>
        <v>Revit</v>
      </c>
    </row>
    <row r="394" customFormat="false" ht="14.25" hidden="false" customHeight="false" outlineLevel="0" collapsed="false">
      <c r="A394" s="35" t="s">
        <v>700</v>
      </c>
      <c r="B394" s="36" t="s">
        <v>701</v>
      </c>
      <c r="C394" s="37" t="s">
        <v>61</v>
      </c>
      <c r="D394" s="38" t="n">
        <f aca="false">SUMIFS(BD_REVIT!$H:$H,BD_REVIT!$C:$C,$A394)</f>
        <v>224</v>
      </c>
      <c r="E394" s="46" t="str">
        <f aca="false">IF(COUNTIF(BD_REVIT!$C:$C,$A394)&gt;0,"Revit","Manual")</f>
        <v>Revit</v>
      </c>
    </row>
    <row r="395" customFormat="false" ht="14.25" hidden="false" customHeight="false" outlineLevel="0" collapsed="false">
      <c r="A395" s="31" t="s">
        <v>57</v>
      </c>
      <c r="B395" s="32" t="s">
        <v>702</v>
      </c>
      <c r="C395" s="33"/>
      <c r="D395" s="42"/>
      <c r="E395" s="15"/>
    </row>
    <row r="396" customFormat="false" ht="14.25" hidden="false" customHeight="false" outlineLevel="0" collapsed="false">
      <c r="A396" s="35" t="s">
        <v>703</v>
      </c>
      <c r="B396" s="36" t="s">
        <v>704</v>
      </c>
      <c r="C396" s="37" t="s">
        <v>75</v>
      </c>
      <c r="D396" s="38" t="n">
        <f aca="false">SUMIFS(BD_REVIT!$H:$H,BD_REVIT!$C:$C,$A396)</f>
        <v>53.83</v>
      </c>
      <c r="E396" s="46" t="str">
        <f aca="false">IF(COUNTIF(BD_REVIT!$C:$C,$A396)&gt;0,"Revit","Manual")</f>
        <v>Revit</v>
      </c>
    </row>
    <row r="397" customFormat="false" ht="14.25" hidden="false" customHeight="false" outlineLevel="0" collapsed="false">
      <c r="A397" s="37" t="s">
        <v>705</v>
      </c>
      <c r="B397" s="36" t="s">
        <v>706</v>
      </c>
      <c r="C397" s="37" t="s">
        <v>75</v>
      </c>
      <c r="D397" s="13" t="n">
        <f aca="false">SUMIFS(BD_REVIT!$H:$H,BD_REVIT!$C:$C,$A397)</f>
        <v>1.64</v>
      </c>
      <c r="E397" s="46" t="str">
        <f aca="false">IF(COUNTIF(BD_REVIT!$C:$C,$A397)&gt;0,"Revit","Manual")</f>
        <v>Revit</v>
      </c>
    </row>
    <row r="398" s="47" customFormat="true" ht="14.25" hidden="false" customHeight="false" outlineLevel="0" collapsed="false">
      <c r="A398" s="35" t="s">
        <v>11</v>
      </c>
      <c r="B398" s="36" t="s">
        <v>707</v>
      </c>
      <c r="C398" s="37" t="s">
        <v>75</v>
      </c>
      <c r="D398" s="38" t="n">
        <f aca="false">SUMIFS(BD_REVIT!$H:$H,BD_REVIT!$C:$C,$A398)</f>
        <v>945.16</v>
      </c>
      <c r="E398" s="46" t="str">
        <f aca="false">IF(COUNTIF(BD_REVIT!$C:$C,$A398)&gt;0,"Revit","Manual")</f>
        <v>Revit</v>
      </c>
    </row>
    <row r="399" s="47" customFormat="true" ht="14.25" hidden="false" customHeight="false" outlineLevel="0" collapsed="false">
      <c r="A399" s="37" t="s">
        <v>708</v>
      </c>
      <c r="B399" s="36" t="s">
        <v>709</v>
      </c>
      <c r="C399" s="37" t="s">
        <v>75</v>
      </c>
      <c r="D399" s="13" t="n">
        <f aca="false">SUMIFS(BD_REVIT!$H:$H,BD_REVIT!$C:$C,$A399)</f>
        <v>136.2</v>
      </c>
      <c r="E399" s="46" t="str">
        <f aca="false">IF(COUNTIF(BD_REVIT!$C:$C,$A399)&gt;0,"Revit","Manual")</f>
        <v>Revit</v>
      </c>
    </row>
    <row r="400" s="47" customFormat="true" ht="14.25" hidden="false" customHeight="false" outlineLevel="0" collapsed="false">
      <c r="A400" s="35" t="s">
        <v>710</v>
      </c>
      <c r="B400" s="36" t="s">
        <v>711</v>
      </c>
      <c r="C400" s="37" t="s">
        <v>75</v>
      </c>
      <c r="D400" s="38" t="n">
        <f aca="false">SUMIFS(BD_REVIT!$H:$H,BD_REVIT!$C:$C,$A400)</f>
        <v>31.3</v>
      </c>
      <c r="E400" s="46" t="str">
        <f aca="false">IF(COUNTIF(BD_REVIT!$C:$C,$A400)&gt;0,"Revit","Manual")</f>
        <v>Revit</v>
      </c>
    </row>
    <row r="401" s="47" customFormat="true" ht="14.25" hidden="false" customHeight="false" outlineLevel="0" collapsed="false">
      <c r="A401" s="35" t="s">
        <v>712</v>
      </c>
      <c r="B401" s="36" t="s">
        <v>713</v>
      </c>
      <c r="C401" s="37" t="s">
        <v>75</v>
      </c>
      <c r="D401" s="38" t="n">
        <f aca="false">SUMIFS(BD_REVIT!$H:$H,BD_REVIT!$C:$C,$A401)</f>
        <v>779.8</v>
      </c>
      <c r="E401" s="46" t="str">
        <f aca="false">IF(COUNTIF(BD_REVIT!$C:$C,$A401)&gt;0,"Revit","Manual")</f>
        <v>Revit</v>
      </c>
    </row>
    <row r="402" s="47" customFormat="true" ht="14.25" hidden="false" customHeight="false" outlineLevel="0" collapsed="false">
      <c r="A402" s="35" t="s">
        <v>714</v>
      </c>
      <c r="B402" s="36" t="s">
        <v>715</v>
      </c>
      <c r="C402" s="37" t="s">
        <v>75</v>
      </c>
      <c r="D402" s="38" t="n">
        <f aca="false">SUMIFS(BD_REVIT!$H:$H,BD_REVIT!$C:$C,$A402)</f>
        <v>14.7</v>
      </c>
      <c r="E402" s="46" t="str">
        <f aca="false">IF(COUNTIF(BD_REVIT!$C:$C,$A402)&gt;0,"Revit","Manual")</f>
        <v>Revit</v>
      </c>
    </row>
    <row r="403" s="47" customFormat="true" ht="14.25" hidden="false" customHeight="false" outlineLevel="0" collapsed="false">
      <c r="A403" s="35" t="s">
        <v>716</v>
      </c>
      <c r="B403" s="36" t="s">
        <v>717</v>
      </c>
      <c r="C403" s="37" t="s">
        <v>75</v>
      </c>
      <c r="D403" s="38" t="n">
        <f aca="false">SUMIFS(BD_REVIT!$H:$H,BD_REVIT!$C:$C,$A403)</f>
        <v>199.54</v>
      </c>
      <c r="E403" s="46" t="str">
        <f aca="false">IF(COUNTIF(BD_REVIT!$C:$C,$A403)&gt;0,"Revit","Manual")</f>
        <v>Revit</v>
      </c>
    </row>
    <row r="404" s="47" customFormat="true" ht="14.25" hidden="false" customHeight="false" outlineLevel="0" collapsed="false">
      <c r="A404" s="35" t="s">
        <v>718</v>
      </c>
      <c r="B404" s="36" t="s">
        <v>384</v>
      </c>
      <c r="C404" s="37" t="s">
        <v>61</v>
      </c>
      <c r="D404" s="38" t="n">
        <f aca="false">SUMIFS(BD_REVIT!$H:$H,BD_REVIT!$C:$C,$A404)</f>
        <v>0</v>
      </c>
      <c r="E404" s="46" t="str">
        <f aca="false">IF(COUNTIF(BD_REVIT!$C:$C,$A404)&gt;0,"Revit","Manual")</f>
        <v>Manual</v>
      </c>
    </row>
    <row r="405" s="47" customFormat="true" ht="14.25" hidden="false" customHeight="false" outlineLevel="0" collapsed="false">
      <c r="A405" s="35" t="s">
        <v>719</v>
      </c>
      <c r="B405" s="36" t="s">
        <v>385</v>
      </c>
      <c r="C405" s="37" t="s">
        <v>61</v>
      </c>
      <c r="D405" s="38" t="n">
        <f aca="false">SUMIFS(BD_REVIT!$H:$H,BD_REVIT!$C:$C,$A405)</f>
        <v>601</v>
      </c>
      <c r="E405" s="46" t="str">
        <f aca="false">IF(COUNTIF(BD_REVIT!$C:$C,$A405)&gt;0,"Revit","Manual")</f>
        <v>Revit</v>
      </c>
    </row>
    <row r="406" s="47" customFormat="true" ht="14.25" hidden="false" customHeight="false" outlineLevel="0" collapsed="false">
      <c r="A406" s="37" t="s">
        <v>720</v>
      </c>
      <c r="B406" s="36" t="s">
        <v>81</v>
      </c>
      <c r="C406" s="37" t="s">
        <v>61</v>
      </c>
      <c r="D406" s="13" t="n">
        <f aca="false">SUMIFS(BD_REVIT!$H:$H,BD_REVIT!$C:$C,$A406)</f>
        <v>80</v>
      </c>
      <c r="E406" s="46" t="str">
        <f aca="false">IF(COUNTIF(BD_REVIT!$C:$C,$A406)&gt;0,"Revit","Manual")</f>
        <v>Revit</v>
      </c>
    </row>
    <row r="407" s="47" customFormat="true" ht="14.25" hidden="false" customHeight="false" outlineLevel="0" collapsed="false">
      <c r="A407" s="35" t="s">
        <v>721</v>
      </c>
      <c r="B407" s="36" t="s">
        <v>722</v>
      </c>
      <c r="C407" s="37" t="s">
        <v>61</v>
      </c>
      <c r="D407" s="38" t="n">
        <f aca="false">SUMIFS(BD_REVIT!$H:$H,BD_REVIT!$C:$C,$A407)</f>
        <v>2</v>
      </c>
      <c r="E407" s="46" t="str">
        <f aca="false">IF(COUNTIF(BD_REVIT!$C:$C,$A407)&gt;0,"Revit","Manual")</f>
        <v>Revit</v>
      </c>
    </row>
    <row r="408" s="47" customFormat="true" ht="14.25" hidden="false" customHeight="false" outlineLevel="0" collapsed="false">
      <c r="A408" s="35" t="s">
        <v>723</v>
      </c>
      <c r="B408" s="36" t="s">
        <v>83</v>
      </c>
      <c r="C408" s="37" t="s">
        <v>61</v>
      </c>
      <c r="D408" s="38" t="n">
        <f aca="false">SUMIFS(BD_REVIT!$H:$H,BD_REVIT!$C:$C,$A408)</f>
        <v>0</v>
      </c>
      <c r="E408" s="46" t="str">
        <f aca="false">IF(COUNTIF(BD_REVIT!$C:$C,$A408)&gt;0,"Revit","Manual")</f>
        <v>Manual</v>
      </c>
    </row>
    <row r="409" s="47" customFormat="true" ht="14.25" hidden="false" customHeight="false" outlineLevel="0" collapsed="false">
      <c r="A409" s="35" t="s">
        <v>724</v>
      </c>
      <c r="B409" s="36" t="s">
        <v>85</v>
      </c>
      <c r="C409" s="37" t="s">
        <v>61</v>
      </c>
      <c r="D409" s="38" t="n">
        <f aca="false">SUMIFS(BD_REVIT!$H:$H,BD_REVIT!$C:$C,$A409)</f>
        <v>0</v>
      </c>
      <c r="E409" s="46" t="str">
        <f aca="false">IF(COUNTIF(BD_REVIT!$C:$C,$A409)&gt;0,"Revit","Manual")</f>
        <v>Manual</v>
      </c>
    </row>
    <row r="410" s="47" customFormat="true" ht="14.25" hidden="false" customHeight="false" outlineLevel="0" collapsed="false">
      <c r="A410" s="35" t="s">
        <v>725</v>
      </c>
      <c r="B410" s="36" t="s">
        <v>726</v>
      </c>
      <c r="C410" s="37" t="s">
        <v>61</v>
      </c>
      <c r="D410" s="38" t="n">
        <f aca="false">SUMIFS(BD_REVIT!$H:$H,BD_REVIT!$C:$C,$A410)</f>
        <v>0</v>
      </c>
      <c r="E410" s="46" t="str">
        <f aca="false">IF(COUNTIF(BD_REVIT!$C:$C,$A410)&gt;0,"Revit","Manual")</f>
        <v>Manual</v>
      </c>
    </row>
    <row r="411" s="47" customFormat="true" ht="14.25" hidden="false" customHeight="false" outlineLevel="0" collapsed="false">
      <c r="A411" s="35" t="s">
        <v>727</v>
      </c>
      <c r="B411" s="36" t="s">
        <v>728</v>
      </c>
      <c r="C411" s="37" t="s">
        <v>61</v>
      </c>
      <c r="D411" s="38" t="n">
        <f aca="false">SUMIFS(BD_REVIT!$H:$H,BD_REVIT!$C:$C,$A411)</f>
        <v>2</v>
      </c>
      <c r="E411" s="46" t="str">
        <f aca="false">IF(COUNTIF(BD_REVIT!$C:$C,$A411)&gt;0,"Revit","Manual")</f>
        <v>Revit</v>
      </c>
    </row>
    <row r="412" s="47" customFormat="true" ht="14.25" hidden="false" customHeight="false" outlineLevel="0" collapsed="false">
      <c r="A412" s="31" t="s">
        <v>57</v>
      </c>
      <c r="B412" s="32" t="s">
        <v>729</v>
      </c>
      <c r="C412" s="33"/>
      <c r="D412" s="42"/>
      <c r="E412" s="15"/>
    </row>
    <row r="413" s="47" customFormat="true" ht="14.25" hidden="false" customHeight="false" outlineLevel="0" collapsed="false">
      <c r="A413" s="35" t="s">
        <v>730</v>
      </c>
      <c r="B413" s="36" t="s">
        <v>731</v>
      </c>
      <c r="C413" s="37" t="s">
        <v>61</v>
      </c>
      <c r="D413" s="38" t="n">
        <f aca="false">SUMIFS(BD_REVIT!$H:$H,BD_REVIT!$C:$C,$A413)</f>
        <v>0</v>
      </c>
      <c r="E413" s="46" t="str">
        <f aca="false">IF(COUNTIF(BD_REVIT!$C:$C,$A413)&gt;0,"Revit","Manual")</f>
        <v>Manual</v>
      </c>
    </row>
    <row r="414" s="47" customFormat="true" ht="14.25" hidden="false" customHeight="false" outlineLevel="0" collapsed="false">
      <c r="A414" s="35" t="s">
        <v>732</v>
      </c>
      <c r="B414" s="36" t="s">
        <v>733</v>
      </c>
      <c r="C414" s="37" t="s">
        <v>61</v>
      </c>
      <c r="D414" s="38" t="n">
        <f aca="false">SUMIFS(BD_REVIT!$H:$H,BD_REVIT!$C:$C,$A414)</f>
        <v>2</v>
      </c>
      <c r="E414" s="46" t="str">
        <f aca="false">IF(COUNTIF(BD_REVIT!$C:$C,$A414)&gt;0,"Revit","Manual")</f>
        <v>Revit</v>
      </c>
    </row>
    <row r="415" s="47" customFormat="true" ht="14.25" hidden="false" customHeight="false" outlineLevel="0" collapsed="false">
      <c r="A415" s="37" t="s">
        <v>734</v>
      </c>
      <c r="B415" s="36" t="s">
        <v>735</v>
      </c>
      <c r="C415" s="37" t="s">
        <v>61</v>
      </c>
      <c r="D415" s="13" t="n">
        <f aca="false">SUMIFS(BD_REVIT!$H:$H,BD_REVIT!$C:$C,$A415)</f>
        <v>60</v>
      </c>
      <c r="E415" s="46" t="str">
        <f aca="false">IF(COUNTIF(BD_REVIT!$C:$C,$A415)&gt;0,"Revit","Manual")</f>
        <v>Revit</v>
      </c>
    </row>
    <row r="416" s="47" customFormat="true" ht="14.25" hidden="false" customHeight="false" outlineLevel="0" collapsed="false">
      <c r="A416" s="37" t="s">
        <v>736</v>
      </c>
      <c r="B416" s="36" t="s">
        <v>737</v>
      </c>
      <c r="C416" s="37" t="s">
        <v>61</v>
      </c>
      <c r="D416" s="13" t="n">
        <f aca="false">SUMIFS(BD_REVIT!$H:$H,BD_REVIT!$C:$C,$A416)</f>
        <v>167</v>
      </c>
      <c r="E416" s="46" t="str">
        <f aca="false">IF(COUNTIF(BD_REVIT!$C:$C,$A416)&gt;0,"Revit","Manual")</f>
        <v>Revit</v>
      </c>
    </row>
    <row r="417" s="47" customFormat="true" ht="14.25" hidden="false" customHeight="false" outlineLevel="0" collapsed="false">
      <c r="A417" s="37" t="s">
        <v>738</v>
      </c>
      <c r="B417" s="36" t="s">
        <v>739</v>
      </c>
      <c r="C417" s="37" t="s">
        <v>61</v>
      </c>
      <c r="D417" s="13" t="n">
        <f aca="false">SUMIFS(BD_REVIT!$H:$H,BD_REVIT!$C:$C,$A417)</f>
        <v>1</v>
      </c>
      <c r="E417" s="46" t="str">
        <f aca="false">IF(COUNTIF(BD_REVIT!$C:$C,$A417)&gt;0,"Revit","Manual")</f>
        <v>Revit</v>
      </c>
    </row>
    <row r="418" s="47" customFormat="true" ht="14.25" hidden="false" customHeight="false" outlineLevel="0" collapsed="false">
      <c r="A418" s="37" t="s">
        <v>740</v>
      </c>
      <c r="B418" s="36" t="s">
        <v>741</v>
      </c>
      <c r="C418" s="37" t="s">
        <v>61</v>
      </c>
      <c r="D418" s="13" t="n">
        <f aca="false">SUMIFS(BD_REVIT!$H:$H,BD_REVIT!$C:$C,$A418)</f>
        <v>3</v>
      </c>
      <c r="E418" s="46" t="str">
        <f aca="false">IF(COUNTIF(BD_REVIT!$C:$C,$A418)&gt;0,"Revit","Manual")</f>
        <v>Revit</v>
      </c>
    </row>
    <row r="419" customFormat="false" ht="14.25" hidden="false" customHeight="false" outlineLevel="0" collapsed="false">
      <c r="A419" s="35" t="s">
        <v>742</v>
      </c>
      <c r="B419" s="36" t="s">
        <v>743</v>
      </c>
      <c r="C419" s="37" t="s">
        <v>61</v>
      </c>
      <c r="D419" s="38" t="n">
        <f aca="false">SUMIFS(BD_REVIT!$H:$H,BD_REVIT!$C:$C,$A419)</f>
        <v>14</v>
      </c>
      <c r="E419" s="46" t="str">
        <f aca="false">IF(COUNTIF(BD_REVIT!$C:$C,$A419)&gt;0,"Revit","Manual")</f>
        <v>Revit</v>
      </c>
    </row>
    <row r="420" customFormat="false" ht="14.25" hidden="false" customHeight="false" outlineLevel="0" collapsed="false">
      <c r="A420" s="35" t="s">
        <v>744</v>
      </c>
      <c r="B420" s="36" t="s">
        <v>745</v>
      </c>
      <c r="C420" s="37" t="s">
        <v>61</v>
      </c>
      <c r="D420" s="38" t="n">
        <f aca="false">SUMIFS(BD_REVIT!$H:$H,BD_REVIT!$C:$C,$A420)</f>
        <v>21</v>
      </c>
      <c r="E420" s="46" t="str">
        <f aca="false">IF(COUNTIF(BD_REVIT!$C:$C,$A420)&gt;0,"Revit","Manual")</f>
        <v>Revit</v>
      </c>
    </row>
    <row r="421" s="47" customFormat="true" ht="14.25" hidden="false" customHeight="false" outlineLevel="0" collapsed="false">
      <c r="A421" s="31" t="s">
        <v>57</v>
      </c>
      <c r="B421" s="32" t="s">
        <v>746</v>
      </c>
      <c r="C421" s="33"/>
      <c r="D421" s="42"/>
      <c r="E421" s="15"/>
    </row>
    <row r="422" s="47" customFormat="true" ht="14.25" hidden="false" customHeight="false" outlineLevel="0" collapsed="false">
      <c r="A422" s="35" t="s">
        <v>747</v>
      </c>
      <c r="B422" s="36" t="s">
        <v>717</v>
      </c>
      <c r="C422" s="37" t="s">
        <v>75</v>
      </c>
      <c r="D422" s="38" t="n">
        <f aca="false">SUMIFS(BD_REVIT!$H:$H,BD_REVIT!$C:$C,$A422)</f>
        <v>0</v>
      </c>
      <c r="E422" s="46" t="str">
        <f aca="false">IF(COUNTIF(BD_REVIT!$C:$C,$A422)&gt;0,"Revit","Manual")</f>
        <v>Manual</v>
      </c>
    </row>
    <row r="423" s="47" customFormat="true" ht="14.25" hidden="false" customHeight="false" outlineLevel="0" collapsed="false">
      <c r="A423" s="35" t="s">
        <v>748</v>
      </c>
      <c r="B423" s="36" t="s">
        <v>749</v>
      </c>
      <c r="C423" s="37" t="s">
        <v>61</v>
      </c>
      <c r="D423" s="38" t="n">
        <f aca="false">SUMIFS(BD_REVIT!$H:$H,BD_REVIT!$C:$C,$A423)</f>
        <v>0</v>
      </c>
      <c r="E423" s="46" t="str">
        <f aca="false">IF(COUNTIF(BD_REVIT!$C:$C,$A423)&gt;0,"Revit","Manual")</f>
        <v>Manual</v>
      </c>
    </row>
    <row r="424" s="47" customFormat="true" ht="14.25" hidden="false" customHeight="false" outlineLevel="0" collapsed="false">
      <c r="A424" s="35" t="s">
        <v>750</v>
      </c>
      <c r="B424" s="36" t="s">
        <v>751</v>
      </c>
      <c r="C424" s="37" t="s">
        <v>61</v>
      </c>
      <c r="D424" s="38" t="n">
        <f aca="false">SUMIFS(BD_REVIT!$H:$H,BD_REVIT!$C:$C,$A424)</f>
        <v>0</v>
      </c>
      <c r="E424" s="46" t="str">
        <f aca="false">IF(COUNTIF(BD_REVIT!$C:$C,$A424)&gt;0,"Revit","Manual")</f>
        <v>Manual</v>
      </c>
    </row>
    <row r="425" s="47" customFormat="true" ht="14.25" hidden="false" customHeight="false" outlineLevel="0" collapsed="false">
      <c r="A425" s="35" t="s">
        <v>752</v>
      </c>
      <c r="B425" s="36" t="s">
        <v>753</v>
      </c>
      <c r="C425" s="37" t="s">
        <v>61</v>
      </c>
      <c r="D425" s="38" t="n">
        <f aca="false">SUMIFS(BD_REVIT!$H:$H,BD_REVIT!$C:$C,$A425)</f>
        <v>0</v>
      </c>
      <c r="E425" s="46" t="str">
        <f aca="false">IF(COUNTIF(BD_REVIT!$C:$C,$A425)&gt;0,"Revit","Manual")</f>
        <v>Manual</v>
      </c>
    </row>
    <row r="426" s="47" customFormat="true" ht="14.25" hidden="false" customHeight="false" outlineLevel="0" collapsed="false">
      <c r="A426" s="37" t="s">
        <v>754</v>
      </c>
      <c r="B426" s="36" t="s">
        <v>755</v>
      </c>
      <c r="C426" s="37" t="s">
        <v>61</v>
      </c>
      <c r="D426" s="13" t="n">
        <f aca="false">SUMIFS(BD_REVIT!$H:$H,BD_REVIT!$C:$C,$A426)</f>
        <v>26</v>
      </c>
      <c r="E426" s="46" t="str">
        <f aca="false">IF(COUNTIF(BD_REVIT!$C:$C,$A426)&gt;0,"Revit","Manual")</f>
        <v>Revit</v>
      </c>
    </row>
    <row r="427" s="47" customFormat="true" ht="14.25" hidden="false" customHeight="false" outlineLevel="0" collapsed="false">
      <c r="A427" s="37" t="s">
        <v>756</v>
      </c>
      <c r="B427" s="36" t="s">
        <v>757</v>
      </c>
      <c r="C427" s="37" t="s">
        <v>61</v>
      </c>
      <c r="D427" s="13" t="n">
        <f aca="false">SUMIFS(BD_REVIT!$H:$H,BD_REVIT!$C:$C,$A427)</f>
        <v>1</v>
      </c>
      <c r="E427" s="46" t="str">
        <f aca="false">IF(COUNTIF(BD_REVIT!$C:$C,$A427)&gt;0,"Revit","Manual")</f>
        <v>Revit</v>
      </c>
    </row>
    <row r="428" s="47" customFormat="true" ht="14.25" hidden="false" customHeight="false" outlineLevel="0" collapsed="false">
      <c r="A428" s="31" t="s">
        <v>57</v>
      </c>
      <c r="B428" s="32" t="s">
        <v>758</v>
      </c>
      <c r="C428" s="33"/>
      <c r="D428" s="34"/>
      <c r="E428" s="15"/>
    </row>
    <row r="429" s="47" customFormat="true" ht="14.25" hidden="false" customHeight="false" outlineLevel="0" collapsed="false">
      <c r="A429" s="35" t="s">
        <v>759</v>
      </c>
      <c r="B429" s="36" t="s">
        <v>760</v>
      </c>
      <c r="C429" s="37" t="s">
        <v>75</v>
      </c>
      <c r="D429" s="38" t="n">
        <f aca="false">SUMIFS(BD_REVIT!$H:$H,BD_REVIT!$C:$C,$A429)</f>
        <v>0</v>
      </c>
      <c r="E429" s="46" t="str">
        <f aca="false">IF(COUNTIF(BD_REVIT!$C:$C,$A429)&gt;0,"Revit","Manual")</f>
        <v>Manual</v>
      </c>
    </row>
    <row r="430" s="47" customFormat="true" ht="14.25" hidden="false" customHeight="false" outlineLevel="0" collapsed="false">
      <c r="A430" s="31" t="s">
        <v>57</v>
      </c>
      <c r="B430" s="32" t="s">
        <v>761</v>
      </c>
      <c r="C430" s="33"/>
      <c r="D430" s="42"/>
      <c r="E430" s="15"/>
    </row>
    <row r="431" s="47" customFormat="true" ht="28.5" hidden="false" customHeight="true" outlineLevel="0" collapsed="false">
      <c r="A431" s="35" t="s">
        <v>762</v>
      </c>
      <c r="B431" s="36" t="s">
        <v>763</v>
      </c>
      <c r="C431" s="37" t="s">
        <v>61</v>
      </c>
      <c r="D431" s="38" t="n">
        <f aca="false">SUMIFS(BD_REVIT!$H:$H,BD_REVIT!$C:$C,$A431)</f>
        <v>0</v>
      </c>
      <c r="E431" s="46" t="str">
        <f aca="false">IF(COUNTIF(BD_REVIT!$C:$C,$A431)&gt;0,"Revit","Manual")</f>
        <v>Manual</v>
      </c>
    </row>
    <row r="432" customFormat="false" ht="14.25" hidden="false" customHeight="false" outlineLevel="0" collapsed="false">
      <c r="A432" s="31" t="s">
        <v>57</v>
      </c>
      <c r="B432" s="32" t="s">
        <v>764</v>
      </c>
      <c r="C432" s="33"/>
      <c r="D432" s="42"/>
      <c r="E432" s="15"/>
    </row>
    <row r="433" customFormat="false" ht="14.25" hidden="false" customHeight="false" outlineLevel="0" collapsed="false">
      <c r="A433" s="35" t="s">
        <v>765</v>
      </c>
      <c r="B433" s="36" t="s">
        <v>766</v>
      </c>
      <c r="C433" s="37" t="s">
        <v>75</v>
      </c>
      <c r="D433" s="38" t="n">
        <f aca="false">SUMIFS(BD_REVIT!$H:$H,BD_REVIT!$C:$C,$A433)</f>
        <v>0</v>
      </c>
      <c r="E433" s="46" t="str">
        <f aca="false">IF(COUNTIF(BD_REVIT!$C:$C,$A433)&gt;0,"Revit","Manual")</f>
        <v>Manual</v>
      </c>
    </row>
    <row r="434" customFormat="false" ht="14.25" hidden="false" customHeight="false" outlineLevel="0" collapsed="false">
      <c r="A434" s="35" t="s">
        <v>767</v>
      </c>
      <c r="B434" s="36" t="s">
        <v>768</v>
      </c>
      <c r="C434" s="37" t="s">
        <v>75</v>
      </c>
      <c r="D434" s="38" t="n">
        <f aca="false">SUMIFS(BD_REVIT!$H:$H,BD_REVIT!$C:$C,$A434)</f>
        <v>0</v>
      </c>
      <c r="E434" s="46" t="str">
        <f aca="false">IF(COUNTIF(BD_REVIT!$C:$C,$A434)&gt;0,"Revit","Manual")</f>
        <v>Manual</v>
      </c>
    </row>
    <row r="435" customFormat="false" ht="14.25" hidden="false" customHeight="false" outlineLevel="0" collapsed="false">
      <c r="A435" s="35" t="s">
        <v>769</v>
      </c>
      <c r="B435" s="36" t="s">
        <v>401</v>
      </c>
      <c r="C435" s="37" t="s">
        <v>61</v>
      </c>
      <c r="D435" s="38" t="n">
        <f aca="false">SUMIFS(BD_REVIT!$H:$H,BD_REVIT!$C:$C,$A435)</f>
        <v>0</v>
      </c>
      <c r="E435" s="46" t="str">
        <f aca="false">IF(COUNTIF(BD_REVIT!$C:$C,$A435)&gt;0,"Revit","Manual")</f>
        <v>Manual</v>
      </c>
    </row>
    <row r="436" customFormat="false" ht="14.25" hidden="false" customHeight="false" outlineLevel="0" collapsed="false">
      <c r="A436" s="35" t="s">
        <v>770</v>
      </c>
      <c r="B436" s="36" t="s">
        <v>98</v>
      </c>
      <c r="C436" s="37" t="s">
        <v>61</v>
      </c>
      <c r="D436" s="38" t="n">
        <f aca="false">SUMIFS(BD_REVIT!$H:$H,BD_REVIT!$C:$C,$A436)</f>
        <v>0</v>
      </c>
      <c r="E436" s="46" t="str">
        <f aca="false">IF(COUNTIF(BD_REVIT!$C:$C,$A436)&gt;0,"Revit","Manual")</f>
        <v>Manual</v>
      </c>
    </row>
    <row r="437" customFormat="false" ht="14.25" hidden="false" customHeight="false" outlineLevel="0" collapsed="false">
      <c r="A437" s="35" t="s">
        <v>771</v>
      </c>
      <c r="B437" s="36" t="s">
        <v>772</v>
      </c>
      <c r="C437" s="37" t="s">
        <v>773</v>
      </c>
      <c r="D437" s="38" t="n">
        <f aca="false">SUMIFS(BD_REVIT!$H:$H,BD_REVIT!$C:$C,$A437)</f>
        <v>0</v>
      </c>
      <c r="E437" s="46" t="str">
        <f aca="false">IF(COUNTIF(BD_REVIT!$C:$C,$A437)&gt;0,"Revit","Manual")</f>
        <v>Manual</v>
      </c>
    </row>
    <row r="438" customFormat="false" ht="14.25" hidden="false" customHeight="false" outlineLevel="0" collapsed="false">
      <c r="A438" s="35" t="s">
        <v>774</v>
      </c>
      <c r="B438" s="36" t="s">
        <v>775</v>
      </c>
      <c r="C438" s="37" t="s">
        <v>773</v>
      </c>
      <c r="D438" s="38" t="n">
        <f aca="false">SUMIFS(BD_REVIT!$H:$H,BD_REVIT!$C:$C,$A438)</f>
        <v>0</v>
      </c>
      <c r="E438" s="46" t="str">
        <f aca="false">IF(COUNTIF(BD_REVIT!$C:$C,$A438)&gt;0,"Revit","Manual")</f>
        <v>Manual</v>
      </c>
    </row>
    <row r="439" customFormat="false" ht="14.25" hidden="false" customHeight="false" outlineLevel="0" collapsed="false">
      <c r="A439" s="31" t="s">
        <v>57</v>
      </c>
      <c r="B439" s="32" t="s">
        <v>776</v>
      </c>
      <c r="C439" s="33"/>
      <c r="D439" s="42"/>
      <c r="E439" s="15"/>
    </row>
    <row r="440" customFormat="false" ht="23.85" hidden="false" customHeight="false" outlineLevel="0" collapsed="false">
      <c r="A440" s="35" t="s">
        <v>777</v>
      </c>
      <c r="B440" s="36" t="s">
        <v>778</v>
      </c>
      <c r="C440" s="37" t="s">
        <v>61</v>
      </c>
      <c r="D440" s="38" t="n">
        <f aca="false">SUMIFS(BD_REVIT!$H:$H,BD_REVIT!$C:$C,$A440)</f>
        <v>7</v>
      </c>
      <c r="E440" s="46" t="str">
        <f aca="false">IF(COUNTIF(BD_REVIT!$C:$C,$A440)&gt;0,"Revit","Manual")</f>
        <v>Revit</v>
      </c>
    </row>
    <row r="441" customFormat="false" ht="14.25" hidden="false" customHeight="false" outlineLevel="0" collapsed="false">
      <c r="A441" s="31" t="s">
        <v>57</v>
      </c>
      <c r="B441" s="32" t="s">
        <v>115</v>
      </c>
      <c r="C441" s="33"/>
      <c r="D441" s="42"/>
      <c r="E441" s="15"/>
    </row>
    <row r="442" customFormat="false" ht="14.25" hidden="false" customHeight="false" outlineLevel="0" collapsed="false">
      <c r="A442" s="35" t="s">
        <v>779</v>
      </c>
      <c r="B442" s="36" t="s">
        <v>780</v>
      </c>
      <c r="C442" s="37" t="s">
        <v>61</v>
      </c>
      <c r="D442" s="38" t="n">
        <f aca="false">SUMIFS(BD_REVIT!$H:$H,BD_REVIT!$C:$C,$A442)</f>
        <v>14</v>
      </c>
      <c r="E442" s="46" t="str">
        <f aca="false">IF(COUNTIF(BD_REVIT!$C:$C,$A442)&gt;0,"Revit","Manual")</f>
        <v>Revit</v>
      </c>
    </row>
    <row r="443" customFormat="false" ht="14.25" hidden="false" customHeight="false" outlineLevel="0" collapsed="false">
      <c r="A443" s="35" t="s">
        <v>781</v>
      </c>
      <c r="B443" s="36" t="s">
        <v>782</v>
      </c>
      <c r="C443" s="37" t="s">
        <v>61</v>
      </c>
      <c r="D443" s="38" t="n">
        <f aca="false">SUMIFS(BD_REVIT!$H:$H,BD_REVIT!$C:$C,$A443)</f>
        <v>14</v>
      </c>
      <c r="E443" s="46" t="str">
        <f aca="false">IF(COUNTIF(BD_REVIT!$C:$C,$A443)&gt;0,"Revit","Manual")</f>
        <v>Revit</v>
      </c>
    </row>
    <row r="444" customFormat="false" ht="14.25" hidden="false" customHeight="false" outlineLevel="0" collapsed="false">
      <c r="A444" s="35" t="s">
        <v>783</v>
      </c>
      <c r="B444" s="36" t="s">
        <v>784</v>
      </c>
      <c r="C444" s="37" t="s">
        <v>61</v>
      </c>
      <c r="D444" s="38" t="n">
        <f aca="false">SUMIFS(BD_REVIT!$H:$H,BD_REVIT!$C:$C,$A444)</f>
        <v>87</v>
      </c>
      <c r="E444" s="46" t="str">
        <f aca="false">IF(COUNTIF(BD_REVIT!$C:$C,$A444)&gt;0,"Revit","Manual")</f>
        <v>Revit</v>
      </c>
    </row>
    <row r="445" customFormat="false" ht="14.25" hidden="false" customHeight="false" outlineLevel="0" collapsed="false">
      <c r="A445" s="35" t="s">
        <v>785</v>
      </c>
      <c r="B445" s="36" t="s">
        <v>786</v>
      </c>
      <c r="C445" s="37" t="s">
        <v>61</v>
      </c>
      <c r="D445" s="38" t="n">
        <f aca="false">SUMIFS(BD_REVIT!$H:$H,BD_REVIT!$C:$C,$A445)</f>
        <v>33</v>
      </c>
      <c r="E445" s="46" t="str">
        <f aca="false">IF(COUNTIF(BD_REVIT!$C:$C,$A445)&gt;0,"Revit","Manual")</f>
        <v>Revit</v>
      </c>
    </row>
    <row r="446" customFormat="false" ht="14.25" hidden="false" customHeight="false" outlineLevel="0" collapsed="false">
      <c r="A446" s="35" t="s">
        <v>787</v>
      </c>
      <c r="B446" s="36" t="s">
        <v>788</v>
      </c>
      <c r="C446" s="37" t="s">
        <v>61</v>
      </c>
      <c r="D446" s="38" t="n">
        <f aca="false">SUMIFS(BD_REVIT!$H:$H,BD_REVIT!$C:$C,$A446)</f>
        <v>245</v>
      </c>
      <c r="E446" s="46" t="str">
        <f aca="false">IF(COUNTIF(BD_REVIT!$C:$C,$A446)&gt;0,"Revit","Manual")</f>
        <v>Revit</v>
      </c>
    </row>
    <row r="447" customFormat="false" ht="14.25" hidden="false" customHeight="false" outlineLevel="0" collapsed="false">
      <c r="A447" s="35" t="s">
        <v>789</v>
      </c>
      <c r="B447" s="36" t="s">
        <v>790</v>
      </c>
      <c r="C447" s="37" t="s">
        <v>61</v>
      </c>
      <c r="D447" s="38" t="n">
        <f aca="false">SUMIFS(BD_REVIT!$H:$H,BD_REVIT!$C:$C,$A447)</f>
        <v>15</v>
      </c>
      <c r="E447" s="46" t="str">
        <f aca="false">IF(COUNTIF(BD_REVIT!$C:$C,$A447)&gt;0,"Revit","Manual")</f>
        <v>Revit</v>
      </c>
    </row>
    <row r="448" customFormat="false" ht="14.25" hidden="false" customHeight="false" outlineLevel="0" collapsed="false">
      <c r="A448" s="35" t="s">
        <v>791</v>
      </c>
      <c r="B448" s="36" t="s">
        <v>792</v>
      </c>
      <c r="C448" s="37" t="s">
        <v>61</v>
      </c>
      <c r="D448" s="38" t="n">
        <f aca="false">SUMIFS(BD_REVIT!$H:$H,BD_REVIT!$C:$C,$A448)</f>
        <v>97</v>
      </c>
      <c r="E448" s="46" t="str">
        <f aca="false">IF(COUNTIF(BD_REVIT!$C:$C,$A448)&gt;0,"Revit","Manual")</f>
        <v>Revit</v>
      </c>
    </row>
    <row r="449" customFormat="false" ht="14.25" hidden="false" customHeight="false" outlineLevel="0" collapsed="false">
      <c r="A449" s="35" t="s">
        <v>793</v>
      </c>
      <c r="B449" s="36" t="s">
        <v>794</v>
      </c>
      <c r="C449" s="37" t="s">
        <v>61</v>
      </c>
      <c r="D449" s="38" t="n">
        <f aca="false">SUMIFS(BD_REVIT!$H:$H,BD_REVIT!$C:$C,$A449)</f>
        <v>132</v>
      </c>
      <c r="E449" s="46" t="str">
        <f aca="false">IF(COUNTIF(BD_REVIT!$C:$C,$A449)&gt;0,"Revit","Manual")</f>
        <v>Revit</v>
      </c>
    </row>
    <row r="450" customFormat="false" ht="14.25" hidden="false" customHeight="false" outlineLevel="0" collapsed="false">
      <c r="A450" s="35" t="s">
        <v>795</v>
      </c>
      <c r="B450" s="36" t="s">
        <v>796</v>
      </c>
      <c r="C450" s="37" t="s">
        <v>61</v>
      </c>
      <c r="D450" s="38" t="n">
        <f aca="false">SUMIFS(BD_REVIT!$H:$H,BD_REVIT!$C:$C,$A450)</f>
        <v>0</v>
      </c>
      <c r="E450" s="46" t="str">
        <f aca="false">IF(COUNTIF(BD_REVIT!$C:$C,$A450)&gt;0,"Revit","Manual")</f>
        <v>Manual</v>
      </c>
    </row>
    <row r="451" customFormat="false" ht="14.25" hidden="false" customHeight="false" outlineLevel="0" collapsed="false">
      <c r="A451" s="35" t="s">
        <v>797</v>
      </c>
      <c r="B451" s="36" t="s">
        <v>798</v>
      </c>
      <c r="C451" s="37" t="s">
        <v>61</v>
      </c>
      <c r="D451" s="38" t="n">
        <f aca="false">SUMIFS(BD_REVIT!$H:$H,BD_REVIT!$C:$C,$A451)</f>
        <v>33</v>
      </c>
      <c r="E451" s="46" t="str">
        <f aca="false">IF(COUNTIF(BD_REVIT!$C:$C,$A451)&gt;0,"Revit","Manual")</f>
        <v>Revit</v>
      </c>
    </row>
    <row r="452" customFormat="false" ht="14.25" hidden="false" customHeight="false" outlineLevel="0" collapsed="false">
      <c r="A452" s="35" t="s">
        <v>799</v>
      </c>
      <c r="B452" s="36" t="s">
        <v>800</v>
      </c>
      <c r="C452" s="37" t="s">
        <v>61</v>
      </c>
      <c r="D452" s="38" t="n">
        <f aca="false">SUMIFS(BD_REVIT!$H:$H,BD_REVIT!$C:$C,$A452)</f>
        <v>33</v>
      </c>
      <c r="E452" s="46" t="str">
        <f aca="false">IF(COUNTIF(BD_REVIT!$C:$C,$A452)&gt;0,"Revit","Manual")</f>
        <v>Revit</v>
      </c>
    </row>
    <row r="453" customFormat="false" ht="14.25" hidden="false" customHeight="false" outlineLevel="0" collapsed="false">
      <c r="A453" s="35" t="s">
        <v>801</v>
      </c>
      <c r="B453" s="36" t="s">
        <v>802</v>
      </c>
      <c r="C453" s="37" t="s">
        <v>61</v>
      </c>
      <c r="D453" s="38" t="n">
        <f aca="false">SUMIFS(BD_REVIT!$H:$H,BD_REVIT!$C:$C,$A453)</f>
        <v>193</v>
      </c>
      <c r="E453" s="46" t="str">
        <f aca="false">IF(COUNTIF(BD_REVIT!$C:$C,$A453)&gt;0,"Revit","Manual")</f>
        <v>Revit</v>
      </c>
    </row>
    <row r="454" customFormat="false" ht="14.25" hidden="false" customHeight="false" outlineLevel="0" collapsed="false">
      <c r="A454" s="35" t="s">
        <v>803</v>
      </c>
      <c r="B454" s="36" t="s">
        <v>804</v>
      </c>
      <c r="C454" s="37" t="s">
        <v>61</v>
      </c>
      <c r="D454" s="38" t="n">
        <f aca="false">SUMIFS(BD_REVIT!$H:$H,BD_REVIT!$C:$C,$A454)</f>
        <v>6</v>
      </c>
      <c r="E454" s="46" t="str">
        <f aca="false">IF(COUNTIF(BD_REVIT!$C:$C,$A454)&gt;0,"Revit","Manual")</f>
        <v>Revit</v>
      </c>
    </row>
    <row r="455" customFormat="false" ht="14.25" hidden="false" customHeight="false" outlineLevel="0" collapsed="false">
      <c r="A455" s="35" t="s">
        <v>805</v>
      </c>
      <c r="B455" s="36" t="s">
        <v>806</v>
      </c>
      <c r="C455" s="37" t="s">
        <v>61</v>
      </c>
      <c r="D455" s="38" t="n">
        <f aca="false">SUMIFS(BD_REVIT!$H:$H,BD_REVIT!$C:$C,$A455)</f>
        <v>193</v>
      </c>
      <c r="E455" s="46" t="str">
        <f aca="false">IF(COUNTIF(BD_REVIT!$C:$C,$A455)&gt;0,"Revit","Manual")</f>
        <v>Revit</v>
      </c>
    </row>
    <row r="456" customFormat="false" ht="14.25" hidden="false" customHeight="false" outlineLevel="0" collapsed="false">
      <c r="A456" s="35" t="s">
        <v>807</v>
      </c>
      <c r="B456" s="36" t="s">
        <v>808</v>
      </c>
      <c r="C456" s="37" t="s">
        <v>61</v>
      </c>
      <c r="D456" s="38" t="n">
        <f aca="false">SUMIFS(BD_REVIT!$H:$H,BD_REVIT!$C:$C,$A456)</f>
        <v>0</v>
      </c>
      <c r="E456" s="46" t="str">
        <f aca="false">IF(COUNTIF(BD_REVIT!$C:$C,$A456)&gt;0,"Revit","Manual")</f>
        <v>Manual</v>
      </c>
    </row>
    <row r="457" customFormat="false" ht="14.25" hidden="false" customHeight="false" outlineLevel="0" collapsed="false">
      <c r="A457" s="35" t="s">
        <v>809</v>
      </c>
      <c r="B457" s="36" t="s">
        <v>810</v>
      </c>
      <c r="C457" s="37" t="s">
        <v>61</v>
      </c>
      <c r="D457" s="38" t="n">
        <f aca="false">SUMIFS(BD_REVIT!$H:$H,BD_REVIT!$C:$C,$A457)</f>
        <v>2</v>
      </c>
      <c r="E457" s="46" t="str">
        <f aca="false">IF(COUNTIF(BD_REVIT!$C:$C,$A457)&gt;0,"Revit","Manual")</f>
        <v>Revit</v>
      </c>
    </row>
    <row r="458" customFormat="false" ht="14.25" hidden="false" customHeight="false" outlineLevel="0" collapsed="false">
      <c r="A458" s="35" t="s">
        <v>811</v>
      </c>
      <c r="B458" s="36" t="s">
        <v>812</v>
      </c>
      <c r="C458" s="37" t="s">
        <v>61</v>
      </c>
      <c r="D458" s="38" t="n">
        <f aca="false">SUMIFS(BD_REVIT!$H:$H,BD_REVIT!$C:$C,$A458)</f>
        <v>16</v>
      </c>
      <c r="E458" s="46" t="str">
        <f aca="false">IF(COUNTIF(BD_REVIT!$C:$C,$A458)&gt;0,"Revit","Manual")</f>
        <v>Revit</v>
      </c>
    </row>
    <row r="459" customFormat="false" ht="14.25" hidden="false" customHeight="false" outlineLevel="0" collapsed="false">
      <c r="A459" s="35" t="s">
        <v>813</v>
      </c>
      <c r="B459" s="36" t="s">
        <v>814</v>
      </c>
      <c r="C459" s="37" t="s">
        <v>61</v>
      </c>
      <c r="D459" s="38" t="n">
        <f aca="false">SUMIFS(BD_REVIT!$H:$H,BD_REVIT!$C:$C,$A459)</f>
        <v>0</v>
      </c>
      <c r="E459" s="46" t="str">
        <f aca="false">IF(COUNTIF(BD_REVIT!$C:$C,$A459)&gt;0,"Revit","Manual")</f>
        <v>Manual</v>
      </c>
    </row>
    <row r="460" customFormat="false" ht="14.25" hidden="false" customHeight="false" outlineLevel="0" collapsed="false">
      <c r="A460" s="37" t="s">
        <v>815</v>
      </c>
      <c r="B460" s="36" t="s">
        <v>816</v>
      </c>
      <c r="C460" s="37" t="s">
        <v>61</v>
      </c>
      <c r="D460" s="13" t="n">
        <f aca="false">SUMIFS(BD_REVIT!$H:$H,BD_REVIT!$C:$C,$A460)</f>
        <v>13</v>
      </c>
      <c r="E460" s="46" t="str">
        <f aca="false">IF(COUNTIF(BD_REVIT!$C:$C,$A460)&gt;0,"Revit","Manual")</f>
        <v>Revit</v>
      </c>
    </row>
    <row r="461" customFormat="false" ht="14.25" hidden="false" customHeight="false" outlineLevel="0" collapsed="false">
      <c r="A461" s="37" t="s">
        <v>817</v>
      </c>
      <c r="B461" s="36" t="s">
        <v>818</v>
      </c>
      <c r="C461" s="37" t="s">
        <v>61</v>
      </c>
      <c r="D461" s="13" t="n">
        <f aca="false">SUMIFS(BD_REVIT!$H:$H,BD_REVIT!$C:$C,$A461)</f>
        <v>7</v>
      </c>
      <c r="E461" s="46" t="str">
        <f aca="false">IF(COUNTIF(BD_REVIT!$C:$C,$A461)&gt;0,"Revit","Manual")</f>
        <v>Revit</v>
      </c>
    </row>
    <row r="462" customFormat="false" ht="14.25" hidden="false" customHeight="false" outlineLevel="0" collapsed="false">
      <c r="A462" s="35" t="s">
        <v>819</v>
      </c>
      <c r="B462" s="36" t="s">
        <v>820</v>
      </c>
      <c r="C462" s="37" t="s">
        <v>61</v>
      </c>
      <c r="D462" s="38" t="n">
        <f aca="false">SUMIFS(BD_REVIT!$H:$H,BD_REVIT!$C:$C,$A462)</f>
        <v>203</v>
      </c>
      <c r="E462" s="46" t="str">
        <f aca="false">IF(COUNTIF(BD_REVIT!$C:$C,$A462)&gt;0,"Revit","Manual")</f>
        <v>Revit</v>
      </c>
    </row>
    <row r="463" customFormat="false" ht="14.25" hidden="false" customHeight="false" outlineLevel="0" collapsed="false">
      <c r="A463" s="35" t="s">
        <v>821</v>
      </c>
      <c r="B463" s="36" t="s">
        <v>822</v>
      </c>
      <c r="C463" s="37" t="s">
        <v>61</v>
      </c>
      <c r="D463" s="38" t="n">
        <f aca="false">SUMIFS(BD_REVIT!$H:$H,BD_REVIT!$C:$C,$A463)</f>
        <v>186</v>
      </c>
      <c r="E463" s="46" t="str">
        <f aca="false">IF(COUNTIF(BD_REVIT!$C:$C,$A463)&gt;0,"Revit","Manual")</f>
        <v>Revit</v>
      </c>
    </row>
    <row r="464" customFormat="false" ht="14.25" hidden="false" customHeight="false" outlineLevel="0" collapsed="false">
      <c r="A464" s="35" t="s">
        <v>823</v>
      </c>
      <c r="B464" s="36" t="s">
        <v>824</v>
      </c>
      <c r="C464" s="37" t="s">
        <v>61</v>
      </c>
      <c r="D464" s="38" t="n">
        <f aca="false">SUMIFS(BD_REVIT!$H:$H,BD_REVIT!$C:$C,$A464)</f>
        <v>4</v>
      </c>
      <c r="E464" s="46" t="str">
        <f aca="false">IF(COUNTIF(BD_REVIT!$C:$C,$A464)&gt;0,"Revit","Manual")</f>
        <v>Revit</v>
      </c>
    </row>
    <row r="465" customFormat="false" ht="14.25" hidden="false" customHeight="false" outlineLevel="0" collapsed="false">
      <c r="A465" s="35" t="s">
        <v>825</v>
      </c>
      <c r="B465" s="36" t="s">
        <v>826</v>
      </c>
      <c r="C465" s="37" t="s">
        <v>61</v>
      </c>
      <c r="D465" s="38" t="n">
        <f aca="false">SUMIFS(BD_REVIT!$H:$H,BD_REVIT!$C:$C,$A465)</f>
        <v>5</v>
      </c>
      <c r="E465" s="46" t="str">
        <f aca="false">IF(COUNTIF(BD_REVIT!$C:$C,$A465)&gt;0,"Revit","Manual")</f>
        <v>Revit</v>
      </c>
    </row>
    <row r="466" customFormat="false" ht="14.25" hidden="false" customHeight="false" outlineLevel="0" collapsed="false">
      <c r="A466" s="37" t="s">
        <v>827</v>
      </c>
      <c r="B466" s="36" t="s">
        <v>828</v>
      </c>
      <c r="C466" s="37" t="s">
        <v>61</v>
      </c>
      <c r="D466" s="13" t="n">
        <f aca="false">SUMIFS(BD_REVIT!$H:$H,BD_REVIT!$C:$C,$A466)</f>
        <v>15</v>
      </c>
      <c r="E466" s="46" t="str">
        <f aca="false">IF(COUNTIF(BD_REVIT!$C:$C,$A466)&gt;0,"Revit","Manual")</f>
        <v>Revit</v>
      </c>
    </row>
    <row r="467" customFormat="false" ht="14.25" hidden="false" customHeight="false" outlineLevel="0" collapsed="false">
      <c r="A467" s="35" t="s">
        <v>829</v>
      </c>
      <c r="B467" s="36" t="s">
        <v>830</v>
      </c>
      <c r="C467" s="37" t="s">
        <v>61</v>
      </c>
      <c r="D467" s="38" t="n">
        <f aca="false">SUMIFS(BD_REVIT!$H:$H,BD_REVIT!$C:$C,$A467)</f>
        <v>7</v>
      </c>
      <c r="E467" s="46" t="str">
        <f aca="false">IF(COUNTIF(BD_REVIT!$C:$C,$A467)&gt;0,"Revit","Manual")</f>
        <v>Revit</v>
      </c>
    </row>
    <row r="468" customFormat="false" ht="14.25" hidden="false" customHeight="false" outlineLevel="0" collapsed="false">
      <c r="A468" s="35" t="s">
        <v>831</v>
      </c>
      <c r="B468" s="36" t="s">
        <v>832</v>
      </c>
      <c r="C468" s="37" t="s">
        <v>61</v>
      </c>
      <c r="D468" s="38" t="n">
        <f aca="false">SUMIFS(BD_REVIT!$H:$H,BD_REVIT!$C:$C,$A468)</f>
        <v>37</v>
      </c>
      <c r="E468" s="46" t="str">
        <f aca="false">IF(COUNTIF(BD_REVIT!$C:$C,$A468)&gt;0,"Revit","Manual")</f>
        <v>Revit</v>
      </c>
    </row>
    <row r="469" customFormat="false" ht="14.25" hidden="false" customHeight="false" outlineLevel="0" collapsed="false">
      <c r="A469" s="35" t="s">
        <v>833</v>
      </c>
      <c r="B469" s="36" t="s">
        <v>834</v>
      </c>
      <c r="C469" s="37" t="s">
        <v>61</v>
      </c>
      <c r="D469" s="38" t="n">
        <f aca="false">SUMIFS(BD_REVIT!$H:$H,BD_REVIT!$C:$C,$A469)</f>
        <v>2</v>
      </c>
      <c r="E469" s="46" t="str">
        <f aca="false">IF(COUNTIF(BD_REVIT!$C:$C,$A469)&gt;0,"Revit","Manual")</f>
        <v>Revit</v>
      </c>
    </row>
    <row r="470" customFormat="false" ht="14.25" hidden="false" customHeight="false" outlineLevel="0" collapsed="false">
      <c r="A470" s="35" t="s">
        <v>835</v>
      </c>
      <c r="B470" s="36" t="s">
        <v>836</v>
      </c>
      <c r="C470" s="37" t="s">
        <v>61</v>
      </c>
      <c r="D470" s="38" t="n">
        <f aca="false">SUMIFS(BD_REVIT!$H:$H,BD_REVIT!$C:$C,$A470)</f>
        <v>26</v>
      </c>
      <c r="E470" s="46" t="str">
        <f aca="false">IF(COUNTIF(BD_REVIT!$C:$C,$A470)&gt;0,"Revit","Manual")</f>
        <v>Revit</v>
      </c>
    </row>
    <row r="471" customFormat="false" ht="14.25" hidden="false" customHeight="false" outlineLevel="0" collapsed="false">
      <c r="A471" s="35" t="s">
        <v>837</v>
      </c>
      <c r="B471" s="36" t="s">
        <v>838</v>
      </c>
      <c r="C471" s="37" t="s">
        <v>61</v>
      </c>
      <c r="D471" s="38" t="n">
        <f aca="false">SUMIFS(BD_REVIT!$H:$H,BD_REVIT!$C:$C,$A471)</f>
        <v>4</v>
      </c>
      <c r="E471" s="46" t="str">
        <f aca="false">IF(COUNTIF(BD_REVIT!$C:$C,$A471)&gt;0,"Revit","Manual")</f>
        <v>Revit</v>
      </c>
    </row>
    <row r="472" customFormat="false" ht="14.25" hidden="false" customHeight="false" outlineLevel="0" collapsed="false">
      <c r="A472" s="35" t="s">
        <v>839</v>
      </c>
      <c r="B472" s="36" t="s">
        <v>840</v>
      </c>
      <c r="C472" s="37" t="s">
        <v>61</v>
      </c>
      <c r="D472" s="38" t="n">
        <f aca="false">SUMIFS(BD_REVIT!$H:$H,BD_REVIT!$C:$C,$A472)</f>
        <v>1</v>
      </c>
      <c r="E472" s="46" t="str">
        <f aca="false">IF(COUNTIF(BD_REVIT!$C:$C,$A472)&gt;0,"Revit","Manual")</f>
        <v>Revit</v>
      </c>
    </row>
    <row r="473" customFormat="false" ht="14.25" hidden="false" customHeight="false" outlineLevel="0" collapsed="false">
      <c r="A473" s="35" t="s">
        <v>841</v>
      </c>
      <c r="B473" s="36" t="s">
        <v>842</v>
      </c>
      <c r="C473" s="37" t="s">
        <v>61</v>
      </c>
      <c r="D473" s="38" t="n">
        <f aca="false">SUMIFS(BD_REVIT!$H:$H,BD_REVIT!$C:$C,$A473)</f>
        <v>22</v>
      </c>
      <c r="E473" s="46" t="str">
        <f aca="false">IF(COUNTIF(BD_REVIT!$C:$C,$A473)&gt;0,"Revit","Manual")</f>
        <v>Revit</v>
      </c>
    </row>
    <row r="474" s="47" customFormat="true" ht="14.25" hidden="false" customHeight="false" outlineLevel="0" collapsed="false">
      <c r="A474" s="35" t="s">
        <v>843</v>
      </c>
      <c r="B474" s="36" t="s">
        <v>844</v>
      </c>
      <c r="C474" s="37" t="s">
        <v>61</v>
      </c>
      <c r="D474" s="38" t="n">
        <f aca="false">SUMIFS(BD_REVIT!$H:$H,BD_REVIT!$C:$C,$A474)</f>
        <v>0</v>
      </c>
      <c r="E474" s="46" t="str">
        <f aca="false">IF(COUNTIF(BD_REVIT!$C:$C,$A474)&gt;0,"Revit","Manual")</f>
        <v>Manual</v>
      </c>
    </row>
    <row r="475" s="47" customFormat="true" ht="14.25" hidden="false" customHeight="false" outlineLevel="0" collapsed="false">
      <c r="A475" s="35" t="s">
        <v>845</v>
      </c>
      <c r="B475" s="36" t="s">
        <v>846</v>
      </c>
      <c r="C475" s="37" t="s">
        <v>61</v>
      </c>
      <c r="D475" s="38" t="n">
        <f aca="false">SUMIFS(BD_REVIT!$H:$H,BD_REVIT!$C:$C,$A475)</f>
        <v>0</v>
      </c>
      <c r="E475" s="46" t="str">
        <f aca="false">IF(COUNTIF(BD_REVIT!$C:$C,$A475)&gt;0,"Revit","Manual")</f>
        <v>Manual</v>
      </c>
    </row>
    <row r="476" s="47" customFormat="true" ht="14.25" hidden="false" customHeight="false" outlineLevel="0" collapsed="false">
      <c r="A476" s="35" t="s">
        <v>847</v>
      </c>
      <c r="B476" s="36" t="s">
        <v>848</v>
      </c>
      <c r="C476" s="37" t="s">
        <v>61</v>
      </c>
      <c r="D476" s="38" t="n">
        <f aca="false">SUMIFS(BD_REVIT!$H:$H,BD_REVIT!$C:$C,$A476)</f>
        <v>0</v>
      </c>
      <c r="E476" s="46" t="str">
        <f aca="false">IF(COUNTIF(BD_REVIT!$C:$C,$A476)&gt;0,"Revit","Manual")</f>
        <v>Manual</v>
      </c>
    </row>
    <row r="477" s="47" customFormat="true" ht="14.25" hidden="false" customHeight="false" outlineLevel="0" collapsed="false">
      <c r="A477" s="31" t="s">
        <v>57</v>
      </c>
      <c r="B477" s="32" t="s">
        <v>849</v>
      </c>
      <c r="C477" s="33"/>
      <c r="D477" s="42"/>
      <c r="E477" s="15"/>
    </row>
    <row r="478" s="47" customFormat="true" ht="14.25" hidden="false" customHeight="false" outlineLevel="0" collapsed="false">
      <c r="A478" s="35" t="s">
        <v>850</v>
      </c>
      <c r="B478" s="36" t="s">
        <v>851</v>
      </c>
      <c r="C478" s="37" t="s">
        <v>61</v>
      </c>
      <c r="D478" s="38" t="n">
        <f aca="false">SUMIFS(BD_REVIT!$H:$H,BD_REVIT!$C:$C,$A478)</f>
        <v>3</v>
      </c>
      <c r="E478" s="46" t="str">
        <f aca="false">IF(COUNTIF(BD_REVIT!$C:$C,$A478)&gt;0,"Revit","Manual")</f>
        <v>Revit</v>
      </c>
    </row>
    <row r="479" s="47" customFormat="true" ht="14.25" hidden="false" customHeight="false" outlineLevel="0" collapsed="false">
      <c r="A479" s="37" t="s">
        <v>852</v>
      </c>
      <c r="B479" s="36" t="s">
        <v>853</v>
      </c>
      <c r="C479" s="37" t="s">
        <v>61</v>
      </c>
      <c r="D479" s="13" t="n">
        <f aca="false">SUMIFS(BD_REVIT!$H:$H,BD_REVIT!$C:$C,$A479)</f>
        <v>6</v>
      </c>
      <c r="E479" s="46" t="str">
        <f aca="false">IF(COUNTIF(BD_REVIT!$C:$C,$A479)&gt;0,"Revit","Manual")</f>
        <v>Revit</v>
      </c>
    </row>
    <row r="480" customFormat="false" ht="14.25" hidden="false" customHeight="false" outlineLevel="0" collapsed="false">
      <c r="A480" s="35" t="s">
        <v>854</v>
      </c>
      <c r="B480" s="36" t="s">
        <v>855</v>
      </c>
      <c r="C480" s="37" t="s">
        <v>61</v>
      </c>
      <c r="D480" s="38" t="n">
        <f aca="false">SUMIFS(BD_REVIT!$H:$H,BD_REVIT!$C:$C,$A480)</f>
        <v>0</v>
      </c>
      <c r="E480" s="46" t="str">
        <f aca="false">IF(COUNTIF(BD_REVIT!$C:$C,$A480)&gt;0,"Revit","Manual")</f>
        <v>Manual</v>
      </c>
    </row>
    <row r="481" customFormat="false" ht="14.25" hidden="false" customHeight="false" outlineLevel="0" collapsed="false">
      <c r="A481" s="35" t="s">
        <v>856</v>
      </c>
      <c r="B481" s="36" t="s">
        <v>857</v>
      </c>
      <c r="C481" s="37" t="s">
        <v>61</v>
      </c>
      <c r="D481" s="38" t="n">
        <f aca="false">SUMIFS(BD_REVIT!$H:$H,BD_REVIT!$C:$C,$A481)</f>
        <v>0</v>
      </c>
      <c r="E481" s="46" t="str">
        <f aca="false">IF(COUNTIF(BD_REVIT!$C:$C,$A481)&gt;0,"Revit","Manual")</f>
        <v>Manual</v>
      </c>
    </row>
    <row r="482" s="47" customFormat="true" ht="14.25" hidden="false" customHeight="false" outlineLevel="0" collapsed="false">
      <c r="A482" s="35" t="s">
        <v>858</v>
      </c>
      <c r="B482" s="36" t="s">
        <v>859</v>
      </c>
      <c r="C482" s="37" t="s">
        <v>61</v>
      </c>
      <c r="D482" s="38" t="n">
        <f aca="false">SUMIFS(BD_REVIT!$H:$H,BD_REVIT!$C:$C,$A482)</f>
        <v>0</v>
      </c>
      <c r="E482" s="46" t="str">
        <f aca="false">IF(COUNTIF(BD_REVIT!$C:$C,$A482)&gt;0,"Revit","Manual")</f>
        <v>Manual</v>
      </c>
    </row>
    <row r="483" s="47" customFormat="true" ht="14.25" hidden="false" customHeight="false" outlineLevel="0" collapsed="false">
      <c r="A483" s="35" t="s">
        <v>860</v>
      </c>
      <c r="B483" s="36" t="s">
        <v>861</v>
      </c>
      <c r="C483" s="37" t="s">
        <v>61</v>
      </c>
      <c r="D483" s="38" t="n">
        <f aca="false">SUMIFS(BD_REVIT!$H:$H,BD_REVIT!$C:$C,$A483)</f>
        <v>0</v>
      </c>
      <c r="E483" s="46" t="str">
        <f aca="false">IF(COUNTIF(BD_REVIT!$C:$C,$A483)&gt;0,"Revit","Manual")</f>
        <v>Manual</v>
      </c>
    </row>
    <row r="484" s="47" customFormat="true" ht="14.25" hidden="false" customHeight="false" outlineLevel="0" collapsed="false">
      <c r="A484" s="35" t="s">
        <v>862</v>
      </c>
      <c r="B484" s="36" t="s">
        <v>863</v>
      </c>
      <c r="C484" s="37" t="s">
        <v>61</v>
      </c>
      <c r="D484" s="38" t="n">
        <f aca="false">SUMIFS(BD_REVIT!$H:$H,BD_REVIT!$C:$C,$A484)</f>
        <v>0</v>
      </c>
      <c r="E484" s="46" t="str">
        <f aca="false">IF(COUNTIF(BD_REVIT!$C:$C,$A484)&gt;0,"Revit","Manual")</f>
        <v>Manual</v>
      </c>
    </row>
    <row r="485" s="47" customFormat="true" ht="14.25" hidden="false" customHeight="false" outlineLevel="0" collapsed="false">
      <c r="A485" s="35" t="s">
        <v>864</v>
      </c>
      <c r="B485" s="36" t="s">
        <v>865</v>
      </c>
      <c r="C485" s="37" t="s">
        <v>61</v>
      </c>
      <c r="D485" s="38" t="n">
        <f aca="false">SUMIFS(BD_REVIT!$H:$H,BD_REVIT!$C:$C,$A485)</f>
        <v>0</v>
      </c>
      <c r="E485" s="46" t="str">
        <f aca="false">IF(COUNTIF(BD_REVIT!$C:$C,$A485)&gt;0,"Revit","Manual")</f>
        <v>Manual</v>
      </c>
    </row>
    <row r="486" s="47" customFormat="true" ht="14.25" hidden="false" customHeight="false" outlineLevel="0" collapsed="false">
      <c r="A486" s="35" t="s">
        <v>866</v>
      </c>
      <c r="B486" s="36" t="s">
        <v>867</v>
      </c>
      <c r="C486" s="37" t="s">
        <v>61</v>
      </c>
      <c r="D486" s="38" t="n">
        <f aca="false">SUMIFS(BD_REVIT!$H:$H,BD_REVIT!$C:$C,$A486)</f>
        <v>0</v>
      </c>
      <c r="E486" s="46" t="str">
        <f aca="false">IF(COUNTIF(BD_REVIT!$C:$C,$A486)&gt;0,"Revit","Manual")</f>
        <v>Manual</v>
      </c>
    </row>
    <row r="487" s="47" customFormat="true" ht="14.25" hidden="false" customHeight="false" outlineLevel="0" collapsed="false">
      <c r="A487" s="37" t="s">
        <v>868</v>
      </c>
      <c r="B487" s="36" t="s">
        <v>869</v>
      </c>
      <c r="C487" s="37" t="s">
        <v>61</v>
      </c>
      <c r="D487" s="13" t="n">
        <f aca="false">SUMIFS(BD_REVIT!$H:$H,BD_REVIT!$C:$C,$A487)</f>
        <v>1</v>
      </c>
      <c r="E487" s="46" t="str">
        <f aca="false">IF(COUNTIF(BD_REVIT!$C:$C,$A487)&gt;0,"Revit","Manual")</f>
        <v>Revit</v>
      </c>
    </row>
    <row r="488" s="47" customFormat="true" ht="14.25" hidden="false" customHeight="false" outlineLevel="0" collapsed="false">
      <c r="A488" s="35" t="s">
        <v>870</v>
      </c>
      <c r="B488" s="36" t="s">
        <v>871</v>
      </c>
      <c r="C488" s="37" t="s">
        <v>61</v>
      </c>
      <c r="D488" s="38" t="n">
        <f aca="false">SUMIFS(BD_REVIT!$H:$H,BD_REVIT!$C:$C,$A488)</f>
        <v>0</v>
      </c>
      <c r="E488" s="46" t="str">
        <f aca="false">IF(COUNTIF(BD_REVIT!$C:$C,$A488)&gt;0,"Revit","Manual")</f>
        <v>Manual</v>
      </c>
    </row>
    <row r="489" s="47" customFormat="true" ht="14.25" hidden="false" customHeight="false" outlineLevel="0" collapsed="false">
      <c r="A489" s="35" t="s">
        <v>872</v>
      </c>
      <c r="B489" s="36" t="s">
        <v>873</v>
      </c>
      <c r="C489" s="37" t="s">
        <v>61</v>
      </c>
      <c r="D489" s="38" t="n">
        <f aca="false">SUMIFS(BD_REVIT!$H:$H,BD_REVIT!$C:$C,$A489)</f>
        <v>7</v>
      </c>
      <c r="E489" s="46" t="str">
        <f aca="false">IF(COUNTIF(BD_REVIT!$C:$C,$A489)&gt;0,"Revit","Manual")</f>
        <v>Revit</v>
      </c>
    </row>
    <row r="490" customFormat="false" ht="14.25" hidden="false" customHeight="false" outlineLevel="0" collapsed="false">
      <c r="A490" s="35" t="s">
        <v>874</v>
      </c>
      <c r="B490" s="36" t="s">
        <v>875</v>
      </c>
      <c r="C490" s="37" t="s">
        <v>61</v>
      </c>
      <c r="D490" s="38" t="n">
        <f aca="false">SUMIFS(BD_REVIT!$H:$H,BD_REVIT!$C:$C,$A490)</f>
        <v>0</v>
      </c>
      <c r="E490" s="46" t="str">
        <f aca="false">IF(COUNTIF(BD_REVIT!$C:$C,$A490)&gt;0,"Revit","Manual")</f>
        <v>Manual</v>
      </c>
    </row>
    <row r="491" s="47" customFormat="true" ht="14.25" hidden="false" customHeight="false" outlineLevel="0" collapsed="false">
      <c r="A491" s="35" t="s">
        <v>876</v>
      </c>
      <c r="B491" s="36" t="s">
        <v>877</v>
      </c>
      <c r="C491" s="37" t="s">
        <v>61</v>
      </c>
      <c r="D491" s="38" t="n">
        <f aca="false">SUMIFS(BD_REVIT!$H:$H,BD_REVIT!$C:$C,$A491)</f>
        <v>0</v>
      </c>
      <c r="E491" s="46" t="str">
        <f aca="false">IF(COUNTIF(BD_REVIT!$C:$C,$A491)&gt;0,"Revit","Manual")</f>
        <v>Manual</v>
      </c>
    </row>
    <row r="492" customFormat="false" ht="14.25" hidden="false" customHeight="false" outlineLevel="0" collapsed="false">
      <c r="A492" s="35" t="s">
        <v>878</v>
      </c>
      <c r="B492" s="36" t="s">
        <v>879</v>
      </c>
      <c r="C492" s="37" t="s">
        <v>61</v>
      </c>
      <c r="D492" s="38" t="n">
        <f aca="false">SUMIFS(BD_REVIT!$H:$H,BD_REVIT!$C:$C,$A492)</f>
        <v>1</v>
      </c>
      <c r="E492" s="46" t="str">
        <f aca="false">IF(COUNTIF(BD_REVIT!$C:$C,$A492)&gt;0,"Revit","Manual")</f>
        <v>Revit</v>
      </c>
    </row>
    <row r="493" customFormat="false" ht="14.25" hidden="false" customHeight="false" outlineLevel="0" collapsed="false">
      <c r="A493" s="35" t="s">
        <v>880</v>
      </c>
      <c r="B493" s="36" t="s">
        <v>881</v>
      </c>
      <c r="C493" s="37" t="s">
        <v>61</v>
      </c>
      <c r="D493" s="38" t="n">
        <f aca="false">SUMIFS(BD_REVIT!$H:$H,BD_REVIT!$C:$C,$A493)</f>
        <v>0</v>
      </c>
      <c r="E493" s="46" t="str">
        <f aca="false">IF(COUNTIF(BD_REVIT!$C:$C,$A493)&gt;0,"Revit","Manual")</f>
        <v>Manual</v>
      </c>
    </row>
    <row r="494" customFormat="false" ht="14.25" hidden="false" customHeight="false" outlineLevel="0" collapsed="false">
      <c r="A494" s="35" t="s">
        <v>882</v>
      </c>
      <c r="B494" s="36" t="s">
        <v>883</v>
      </c>
      <c r="C494" s="37" t="s">
        <v>61</v>
      </c>
      <c r="D494" s="38" t="n">
        <f aca="false">SUMIFS(BD_REVIT!$H:$H,BD_REVIT!$C:$C,$A494)</f>
        <v>0</v>
      </c>
      <c r="E494" s="46" t="str">
        <f aca="false">IF(COUNTIF(BD_REVIT!$C:$C,$A494)&gt;0,"Revit","Manual")</f>
        <v>Manual</v>
      </c>
    </row>
    <row r="495" customFormat="false" ht="14.25" hidden="false" customHeight="false" outlineLevel="0" collapsed="false">
      <c r="A495" s="35" t="s">
        <v>884</v>
      </c>
      <c r="B495" s="36" t="s">
        <v>427</v>
      </c>
      <c r="C495" s="37" t="s">
        <v>61</v>
      </c>
      <c r="D495" s="38" t="n">
        <f aca="false">SUMIFS(BD_REVIT!$H:$H,BD_REVIT!$C:$C,$A495)</f>
        <v>0</v>
      </c>
      <c r="E495" s="46" t="str">
        <f aca="false">IF(COUNTIF(BD_REVIT!$C:$C,$A495)&gt;0,"Revit","Manual")</f>
        <v>Manual</v>
      </c>
    </row>
    <row r="496" customFormat="false" ht="14.25" hidden="false" customHeight="false" outlineLevel="0" collapsed="false">
      <c r="A496" s="35" t="s">
        <v>885</v>
      </c>
      <c r="B496" s="36" t="s">
        <v>886</v>
      </c>
      <c r="C496" s="37" t="s">
        <v>61</v>
      </c>
      <c r="D496" s="38" t="n">
        <f aca="false">SUMIFS(BD_REVIT!$H:$H,BD_REVIT!$C:$C,$A496)</f>
        <v>1</v>
      </c>
      <c r="E496" s="46" t="str">
        <f aca="false">IF(COUNTIF(BD_REVIT!$C:$C,$A496)&gt;0,"Revit","Manual")</f>
        <v>Revit</v>
      </c>
    </row>
    <row r="497" customFormat="false" ht="14.25" hidden="false" customHeight="false" outlineLevel="0" collapsed="false">
      <c r="A497" s="35" t="s">
        <v>887</v>
      </c>
      <c r="B497" s="36" t="s">
        <v>888</v>
      </c>
      <c r="C497" s="37" t="s">
        <v>61</v>
      </c>
      <c r="D497" s="38" t="n">
        <f aca="false">SUMIFS(BD_REVIT!$H:$H,BD_REVIT!$C:$C,$A497)</f>
        <v>1</v>
      </c>
      <c r="E497" s="46" t="str">
        <f aca="false">IF(COUNTIF(BD_REVIT!$C:$C,$A497)&gt;0,"Revit","Manual")</f>
        <v>Revit</v>
      </c>
    </row>
    <row r="498" s="47" customFormat="true" ht="14.25" hidden="false" customHeight="false" outlineLevel="0" collapsed="false">
      <c r="A498" s="35" t="s">
        <v>889</v>
      </c>
      <c r="B498" s="36" t="s">
        <v>890</v>
      </c>
      <c r="C498" s="37" t="s">
        <v>61</v>
      </c>
      <c r="D498" s="38" t="n">
        <f aca="false">SUMIFS(BD_REVIT!$H:$H,BD_REVIT!$C:$C,$A498)</f>
        <v>2</v>
      </c>
      <c r="E498" s="46" t="str">
        <f aca="false">IF(COUNTIF(BD_REVIT!$C:$C,$A498)&gt;0,"Revit","Manual")</f>
        <v>Revit</v>
      </c>
    </row>
    <row r="499" customFormat="false" ht="100.5" hidden="false" customHeight="true" outlineLevel="0" collapsed="false">
      <c r="A499" s="35" t="s">
        <v>891</v>
      </c>
      <c r="B499" s="36" t="s">
        <v>892</v>
      </c>
      <c r="C499" s="37" t="s">
        <v>61</v>
      </c>
      <c r="D499" s="38" t="n">
        <f aca="false">SUMIFS(BD_REVIT!$H:$H,BD_REVIT!$C:$C,$A499)</f>
        <v>0</v>
      </c>
      <c r="E499" s="46" t="str">
        <f aca="false">IF(COUNTIF(BD_REVIT!$C:$C,$A499)&gt;0,"Revit","Manual")</f>
        <v>Manual</v>
      </c>
    </row>
    <row r="500" customFormat="false" ht="14.25" hidden="false" customHeight="false" outlineLevel="0" collapsed="false">
      <c r="A500" s="35" t="s">
        <v>893</v>
      </c>
      <c r="B500" s="36" t="s">
        <v>894</v>
      </c>
      <c r="C500" s="37" t="s">
        <v>61</v>
      </c>
      <c r="D500" s="38" t="n">
        <f aca="false">SUMIFS(BD_REVIT!$H:$H,BD_REVIT!$C:$C,$A500)</f>
        <v>2</v>
      </c>
      <c r="E500" s="46" t="str">
        <f aca="false">IF(COUNTIF(BD_REVIT!$C:$C,$A500)&gt;0,"Revit","Manual")</f>
        <v>Revit</v>
      </c>
    </row>
    <row r="501" customFormat="false" ht="99.75" hidden="false" customHeight="true" outlineLevel="0" collapsed="false">
      <c r="A501" s="35" t="s">
        <v>895</v>
      </c>
      <c r="B501" s="36" t="s">
        <v>896</v>
      </c>
      <c r="C501" s="37" t="s">
        <v>61</v>
      </c>
      <c r="D501" s="38" t="n">
        <f aca="false">SUMIFS(BD_REVIT!$H:$H,BD_REVIT!$C:$C,$A501)</f>
        <v>0</v>
      </c>
      <c r="E501" s="46" t="str">
        <f aca="false">IF(COUNTIF(BD_REVIT!$C:$C,$A501)&gt;0,"Revit","Manual")</f>
        <v>Manual</v>
      </c>
    </row>
    <row r="502" customFormat="false" ht="14.25" hidden="false" customHeight="false" outlineLevel="0" collapsed="false">
      <c r="A502" s="35" t="s">
        <v>897</v>
      </c>
      <c r="B502" s="36" t="s">
        <v>898</v>
      </c>
      <c r="C502" s="37" t="s">
        <v>61</v>
      </c>
      <c r="D502" s="38" t="n">
        <f aca="false">SUMIFS(BD_REVIT!$H:$H,BD_REVIT!$C:$C,$A502)</f>
        <v>0</v>
      </c>
      <c r="E502" s="46" t="str">
        <f aca="false">IF(COUNTIF(BD_REVIT!$C:$C,$A502)&gt;0,"Revit","Manual")</f>
        <v>Manual</v>
      </c>
    </row>
    <row r="503" customFormat="false" ht="87" hidden="false" customHeight="true" outlineLevel="0" collapsed="false">
      <c r="A503" s="35" t="s">
        <v>899</v>
      </c>
      <c r="B503" s="36" t="s">
        <v>900</v>
      </c>
      <c r="C503" s="37" t="s">
        <v>61</v>
      </c>
      <c r="D503" s="38" t="n">
        <f aca="false">SUMIFS(BD_REVIT!$H:$H,BD_REVIT!$C:$C,$A503)</f>
        <v>0</v>
      </c>
      <c r="E503" s="46" t="str">
        <f aca="false">IF(COUNTIF(BD_REVIT!$C:$C,$A503)&gt;0,"Revit","Manual")</f>
        <v>Manual</v>
      </c>
    </row>
    <row r="504" customFormat="false" ht="14.25" hidden="false" customHeight="false" outlineLevel="0" collapsed="false">
      <c r="A504" s="35" t="s">
        <v>901</v>
      </c>
      <c r="B504" s="36" t="s">
        <v>902</v>
      </c>
      <c r="C504" s="37" t="s">
        <v>61</v>
      </c>
      <c r="D504" s="38" t="n">
        <f aca="false">SUMIFS(BD_REVIT!$H:$H,BD_REVIT!$C:$C,$A504)</f>
        <v>0</v>
      </c>
      <c r="E504" s="46" t="str">
        <f aca="false">IF(COUNTIF(BD_REVIT!$C:$C,$A504)&gt;0,"Revit","Manual")</f>
        <v>Manual</v>
      </c>
    </row>
    <row r="505" customFormat="false" ht="14.25" hidden="false" customHeight="false" outlineLevel="0" collapsed="false">
      <c r="A505" s="35" t="s">
        <v>903</v>
      </c>
      <c r="B505" s="36" t="s">
        <v>904</v>
      </c>
      <c r="C505" s="37" t="s">
        <v>61</v>
      </c>
      <c r="D505" s="38" t="n">
        <f aca="false">SUMIFS(BD_REVIT!$H:$H,BD_REVIT!$C:$C,$A505)</f>
        <v>0</v>
      </c>
      <c r="E505" s="46" t="str">
        <f aca="false">IF(COUNTIF(BD_REVIT!$C:$C,$A505)&gt;0,"Revit","Manual")</f>
        <v>Manual</v>
      </c>
    </row>
    <row r="506" customFormat="false" ht="14.25" hidden="false" customHeight="false" outlineLevel="0" collapsed="false">
      <c r="A506" s="31" t="s">
        <v>57</v>
      </c>
      <c r="B506" s="32" t="s">
        <v>905</v>
      </c>
      <c r="C506" s="33"/>
      <c r="D506" s="42"/>
      <c r="E506" s="15"/>
    </row>
    <row r="507" customFormat="false" ht="14.25" hidden="false" customHeight="false" outlineLevel="0" collapsed="false">
      <c r="A507" s="35" t="s">
        <v>906</v>
      </c>
      <c r="B507" s="36" t="s">
        <v>907</v>
      </c>
      <c r="C507" s="37" t="s">
        <v>75</v>
      </c>
      <c r="D507" s="38" t="n">
        <f aca="false">SUMIFS(BD_REVIT!$H:$H,BD_REVIT!$C:$C,$A507)</f>
        <v>0</v>
      </c>
      <c r="E507" s="46" t="str">
        <f aca="false">IF(COUNTIF(BD_REVIT!$C:$C,$A507)&gt;0,"Revit","Manual")</f>
        <v>Manual</v>
      </c>
    </row>
    <row r="508" customFormat="false" ht="14.25" hidden="false" customHeight="false" outlineLevel="0" collapsed="false">
      <c r="A508" s="35" t="s">
        <v>908</v>
      </c>
      <c r="B508" s="36" t="s">
        <v>909</v>
      </c>
      <c r="C508" s="37" t="s">
        <v>61</v>
      </c>
      <c r="D508" s="38" t="n">
        <f aca="false">SUMIFS(BD_REVIT!$H:$H,BD_REVIT!$C:$C,$A508)</f>
        <v>0</v>
      </c>
      <c r="E508" s="46" t="str">
        <f aca="false">IF(COUNTIF(BD_REVIT!$C:$C,$A508)&gt;0,"Revit","Manual")</f>
        <v>Manual</v>
      </c>
    </row>
    <row r="509" customFormat="false" ht="14.25" hidden="false" customHeight="false" outlineLevel="0" collapsed="false">
      <c r="A509" s="35" t="s">
        <v>910</v>
      </c>
      <c r="B509" s="36" t="s">
        <v>911</v>
      </c>
      <c r="C509" s="37" t="s">
        <v>61</v>
      </c>
      <c r="D509" s="38" t="n">
        <f aca="false">SUMIFS(BD_REVIT!$H:$H,BD_REVIT!$C:$C,$A509)</f>
        <v>0</v>
      </c>
      <c r="E509" s="46" t="str">
        <f aca="false">IF(COUNTIF(BD_REVIT!$C:$C,$A509)&gt;0,"Revit","Manual")</f>
        <v>Manual</v>
      </c>
    </row>
    <row r="510" customFormat="false" ht="14.25" hidden="false" customHeight="false" outlineLevel="0" collapsed="false">
      <c r="A510" s="35" t="s">
        <v>912</v>
      </c>
      <c r="B510" s="36" t="s">
        <v>772</v>
      </c>
      <c r="C510" s="37" t="s">
        <v>773</v>
      </c>
      <c r="D510" s="38" t="n">
        <f aca="false">SUMIFS(BD_REVIT!$H:$H,BD_REVIT!$C:$C,$A510)</f>
        <v>0</v>
      </c>
      <c r="E510" s="46" t="str">
        <f aca="false">IF(COUNTIF(BD_REVIT!$C:$C,$A510)&gt;0,"Revit","Manual")</f>
        <v>Manual</v>
      </c>
    </row>
    <row r="511" customFormat="false" ht="14.25" hidden="false" customHeight="false" outlineLevel="0" collapsed="false">
      <c r="A511" s="35" t="s">
        <v>913</v>
      </c>
      <c r="B511" s="36" t="s">
        <v>775</v>
      </c>
      <c r="C511" s="37" t="s">
        <v>773</v>
      </c>
      <c r="D511" s="38" t="n">
        <f aca="false">SUMIFS(BD_REVIT!$H:$H,BD_REVIT!$C:$C,$A511)</f>
        <v>0</v>
      </c>
      <c r="E511" s="46" t="str">
        <f aca="false">IF(COUNTIF(BD_REVIT!$C:$C,$A511)&gt;0,"Revit","Manual")</f>
        <v>Manual</v>
      </c>
    </row>
    <row r="512" customFormat="false" ht="14.25" hidden="false" customHeight="false" outlineLevel="0" collapsed="false">
      <c r="A512" s="31" t="s">
        <v>57</v>
      </c>
      <c r="B512" s="32" t="s">
        <v>914</v>
      </c>
      <c r="C512" s="33"/>
      <c r="D512" s="42"/>
      <c r="E512" s="15"/>
    </row>
    <row r="513" customFormat="false" ht="68.65" hidden="false" customHeight="false" outlineLevel="0" collapsed="false">
      <c r="A513" s="35" t="s">
        <v>915</v>
      </c>
      <c r="B513" s="36" t="s">
        <v>916</v>
      </c>
      <c r="C513" s="37" t="s">
        <v>61</v>
      </c>
      <c r="D513" s="38" t="n">
        <f aca="false">SUMIFS(BD_REVIT!$H:$H,BD_REVIT!$C:$C,$A513)</f>
        <v>1</v>
      </c>
      <c r="E513" s="46" t="str">
        <f aca="false">IF(COUNTIF(BD_REVIT!$C:$C,$A513)&gt;0,"Revit","Manual")</f>
        <v>Revit</v>
      </c>
    </row>
    <row r="514" customFormat="false" ht="14.25" hidden="false" customHeight="false" outlineLevel="0" collapsed="false">
      <c r="A514" s="31" t="s">
        <v>57</v>
      </c>
      <c r="B514" s="32" t="s">
        <v>917</v>
      </c>
      <c r="C514" s="33"/>
      <c r="D514" s="42"/>
      <c r="E514" s="15"/>
    </row>
    <row r="515" customFormat="false" ht="57.45" hidden="false" customHeight="false" outlineLevel="0" collapsed="false">
      <c r="A515" s="35" t="s">
        <v>918</v>
      </c>
      <c r="B515" s="36" t="s">
        <v>919</v>
      </c>
      <c r="C515" s="37" t="s">
        <v>61</v>
      </c>
      <c r="D515" s="38" t="n">
        <f aca="false">SUMIFS(BD_REVIT!$H:$H,BD_REVIT!$C:$C,$A515)</f>
        <v>1</v>
      </c>
      <c r="E515" s="46" t="str">
        <f aca="false">IF(COUNTIF(BD_REVIT!$C:$C,$A515)&gt;0,"Revit","Manual")</f>
        <v>Revit</v>
      </c>
    </row>
    <row r="516" customFormat="false" ht="14.25" hidden="false" customHeight="false" outlineLevel="0" collapsed="false">
      <c r="A516" s="37" t="s">
        <v>920</v>
      </c>
      <c r="B516" s="36" t="s">
        <v>921</v>
      </c>
      <c r="C516" s="37" t="s">
        <v>61</v>
      </c>
      <c r="D516" s="13" t="n">
        <f aca="false">SUMIFS(BD_REVIT!$H:$H,BD_REVIT!$C:$C,$A516)</f>
        <v>1</v>
      </c>
      <c r="E516" s="46" t="str">
        <f aca="false">IF(COUNTIF(BD_REVIT!$C:$C,$A516)&gt;0,"Revit","Manual")</f>
        <v>Revit</v>
      </c>
    </row>
    <row r="517" customFormat="false" ht="14.25" hidden="false" customHeight="false" outlineLevel="0" collapsed="false">
      <c r="A517" s="31" t="s">
        <v>57</v>
      </c>
      <c r="B517" s="32" t="s">
        <v>922</v>
      </c>
      <c r="C517" s="33"/>
      <c r="D517" s="42"/>
      <c r="E517" s="15"/>
    </row>
    <row r="518" customFormat="false" ht="57.45" hidden="false" customHeight="false" outlineLevel="0" collapsed="false">
      <c r="A518" s="35" t="s">
        <v>923</v>
      </c>
      <c r="B518" s="36" t="s">
        <v>924</v>
      </c>
      <c r="C518" s="37" t="s">
        <v>925</v>
      </c>
      <c r="D518" s="38" t="n">
        <f aca="false">SUMIFS(BD_REVIT!$H:$H,BD_REVIT!$C:$C,$A518)</f>
        <v>0</v>
      </c>
      <c r="E518" s="46" t="str">
        <f aca="false">IF(COUNTIF(BD_REVIT!$C:$C,$A518)&gt;0,"Revit","Manual")</f>
        <v>Manual</v>
      </c>
    </row>
    <row r="519" customFormat="false" ht="14.25" hidden="false" customHeight="false" outlineLevel="0" collapsed="false">
      <c r="A519" s="26" t="n">
        <v>9</v>
      </c>
      <c r="B519" s="27" t="s">
        <v>926</v>
      </c>
      <c r="C519" s="28"/>
      <c r="D519" s="41"/>
      <c r="E519" s="30"/>
    </row>
    <row r="520" customFormat="false" ht="28.5" hidden="false" customHeight="true" outlineLevel="0" collapsed="false">
      <c r="A520" s="35" t="s">
        <v>927</v>
      </c>
      <c r="B520" s="36" t="s">
        <v>928</v>
      </c>
      <c r="C520" s="37" t="s">
        <v>61</v>
      </c>
      <c r="D520" s="38"/>
      <c r="E520" s="10"/>
    </row>
    <row r="521" customFormat="false" ht="14.25" hidden="false" customHeight="false" outlineLevel="0" collapsed="false">
      <c r="A521" s="35" t="s">
        <v>929</v>
      </c>
      <c r="B521" s="36" t="s">
        <v>930</v>
      </c>
      <c r="C521" s="37" t="s">
        <v>61</v>
      </c>
      <c r="D521" s="38"/>
      <c r="E521" s="10"/>
    </row>
    <row r="522" customFormat="false" ht="14.25" hidden="false" customHeight="false" outlineLevel="0" collapsed="false">
      <c r="A522" s="35" t="s">
        <v>931</v>
      </c>
      <c r="B522" s="36" t="s">
        <v>932</v>
      </c>
      <c r="C522" s="37" t="s">
        <v>61</v>
      </c>
      <c r="D522" s="38"/>
      <c r="E522" s="10"/>
    </row>
    <row r="523" customFormat="false" ht="14.25" hidden="false" customHeight="false" outlineLevel="0" collapsed="false">
      <c r="A523" s="35" t="s">
        <v>933</v>
      </c>
      <c r="B523" s="36" t="s">
        <v>934</v>
      </c>
      <c r="C523" s="37" t="s">
        <v>61</v>
      </c>
      <c r="D523" s="38"/>
      <c r="E523" s="10"/>
    </row>
    <row r="524" customFormat="false" ht="14.25" hidden="false" customHeight="false" outlineLevel="0" collapsed="false">
      <c r="A524" s="35" t="s">
        <v>935</v>
      </c>
      <c r="B524" s="36" t="s">
        <v>936</v>
      </c>
      <c r="C524" s="37" t="s">
        <v>61</v>
      </c>
      <c r="D524" s="38"/>
      <c r="E524" s="10"/>
    </row>
    <row r="525" customFormat="false" ht="14.25" hidden="false" customHeight="false" outlineLevel="0" collapsed="false">
      <c r="A525" s="35" t="s">
        <v>937</v>
      </c>
      <c r="B525" s="36" t="s">
        <v>938</v>
      </c>
      <c r="C525" s="37" t="s">
        <v>61</v>
      </c>
      <c r="D525" s="38"/>
      <c r="E525" s="10"/>
    </row>
    <row r="526" customFormat="false" ht="15" hidden="false" customHeight="true" outlineLevel="0" collapsed="false">
      <c r="A526" s="35" t="s">
        <v>939</v>
      </c>
      <c r="B526" s="36" t="s">
        <v>940</v>
      </c>
      <c r="C526" s="37" t="s">
        <v>61</v>
      </c>
      <c r="D526" s="38"/>
      <c r="E526" s="10"/>
    </row>
    <row r="527" customFormat="false" ht="15" hidden="false" customHeight="true" outlineLevel="0" collapsed="false">
      <c r="A527" s="35" t="s">
        <v>941</v>
      </c>
      <c r="B527" s="36" t="s">
        <v>942</v>
      </c>
      <c r="C527" s="37" t="s">
        <v>61</v>
      </c>
      <c r="D527" s="38"/>
      <c r="E527" s="10"/>
    </row>
    <row r="528" customFormat="false" ht="15" hidden="false" customHeight="true" outlineLevel="0" collapsed="false">
      <c r="A528" s="35" t="s">
        <v>943</v>
      </c>
      <c r="B528" s="36" t="s">
        <v>944</v>
      </c>
      <c r="C528" s="37" t="s">
        <v>61</v>
      </c>
      <c r="D528" s="38"/>
      <c r="E528" s="10"/>
    </row>
    <row r="529" customFormat="false" ht="14.25" hidden="false" customHeight="false" outlineLevel="0" collapsed="false">
      <c r="A529" s="35" t="s">
        <v>945</v>
      </c>
      <c r="B529" s="36" t="s">
        <v>946</v>
      </c>
      <c r="C529" s="37" t="s">
        <v>61</v>
      </c>
      <c r="D529" s="38"/>
      <c r="E529" s="10"/>
    </row>
    <row r="530" customFormat="false" ht="14.25" hidden="false" customHeight="false" outlineLevel="0" collapsed="false">
      <c r="A530" s="35" t="s">
        <v>947</v>
      </c>
      <c r="B530" s="36" t="s">
        <v>948</v>
      </c>
      <c r="C530" s="37" t="s">
        <v>61</v>
      </c>
      <c r="D530" s="38"/>
      <c r="E530" s="10"/>
    </row>
    <row r="531" customFormat="false" ht="14.25" hidden="false" customHeight="false" outlineLevel="0" collapsed="false">
      <c r="A531" s="35" t="s">
        <v>949</v>
      </c>
      <c r="B531" s="36" t="s">
        <v>950</v>
      </c>
      <c r="C531" s="37" t="s">
        <v>61</v>
      </c>
      <c r="D531" s="38"/>
      <c r="E531" s="10"/>
    </row>
    <row r="532" customFormat="false" ht="15" hidden="false" customHeight="true" outlineLevel="0" collapsed="false">
      <c r="A532" s="35" t="s">
        <v>951</v>
      </c>
      <c r="B532" s="36" t="s">
        <v>952</v>
      </c>
      <c r="C532" s="37" t="s">
        <v>61</v>
      </c>
      <c r="D532" s="38"/>
      <c r="E532" s="10"/>
    </row>
    <row r="533" customFormat="false" ht="15" hidden="false" customHeight="true" outlineLevel="0" collapsed="false">
      <c r="A533" s="26" t="n">
        <v>10</v>
      </c>
      <c r="B533" s="27" t="s">
        <v>953</v>
      </c>
      <c r="C533" s="28"/>
      <c r="D533" s="41"/>
      <c r="E533" s="30"/>
    </row>
    <row r="534" customFormat="false" ht="14.25" hidden="false" customHeight="false" outlineLevel="0" collapsed="false">
      <c r="A534" s="35" t="s">
        <v>954</v>
      </c>
      <c r="B534" s="36" t="s">
        <v>955</v>
      </c>
      <c r="C534" s="37" t="s">
        <v>956</v>
      </c>
      <c r="D534" s="38"/>
      <c r="E534" s="10"/>
    </row>
    <row r="535" customFormat="false" ht="14.25" hidden="false" customHeight="false" outlineLevel="0" collapsed="false">
      <c r="A535" s="35" t="s">
        <v>957</v>
      </c>
      <c r="B535" s="36" t="s">
        <v>958</v>
      </c>
      <c r="C535" s="37" t="s">
        <v>956</v>
      </c>
      <c r="D535" s="38"/>
      <c r="E535" s="10"/>
    </row>
    <row r="536" customFormat="false" ht="14.25" hidden="false" customHeight="false" outlineLevel="0" collapsed="false">
      <c r="A536" s="35" t="s">
        <v>959</v>
      </c>
      <c r="B536" s="36" t="s">
        <v>960</v>
      </c>
      <c r="C536" s="37" t="s">
        <v>956</v>
      </c>
      <c r="D536" s="38"/>
      <c r="E536" s="10"/>
    </row>
    <row r="537" customFormat="false" ht="14.25" hidden="false" customHeight="false" outlineLevel="0" collapsed="false">
      <c r="A537" s="35" t="s">
        <v>961</v>
      </c>
      <c r="B537" s="36" t="s">
        <v>962</v>
      </c>
      <c r="C537" s="37" t="s">
        <v>61</v>
      </c>
      <c r="D537" s="38"/>
      <c r="E537" s="10"/>
    </row>
    <row r="538" customFormat="false" ht="14.25" hidden="false" customHeight="false" outlineLevel="0" collapsed="false">
      <c r="A538" s="35" t="s">
        <v>963</v>
      </c>
      <c r="B538" s="36" t="s">
        <v>964</v>
      </c>
      <c r="C538" s="37" t="s">
        <v>61</v>
      </c>
      <c r="D538" s="38"/>
      <c r="E538" s="10"/>
    </row>
    <row r="539" customFormat="false" ht="14.25" hidden="false" customHeight="false" outlineLevel="0" collapsed="false">
      <c r="A539" s="35" t="s">
        <v>965</v>
      </c>
      <c r="B539" s="36" t="s">
        <v>966</v>
      </c>
      <c r="C539" s="37" t="s">
        <v>61</v>
      </c>
      <c r="D539" s="38"/>
      <c r="E539" s="10"/>
    </row>
    <row r="540" customFormat="false" ht="14.25" hidden="false" customHeight="false" outlineLevel="0" collapsed="false">
      <c r="A540" s="35" t="s">
        <v>967</v>
      </c>
      <c r="B540" s="36" t="s">
        <v>968</v>
      </c>
      <c r="C540" s="37" t="s">
        <v>61</v>
      </c>
      <c r="D540" s="38"/>
      <c r="E540" s="10"/>
    </row>
    <row r="541" customFormat="false" ht="14.25" hidden="false" customHeight="false" outlineLevel="0" collapsed="false">
      <c r="A541" s="35" t="s">
        <v>969</v>
      </c>
      <c r="B541" s="36" t="s">
        <v>970</v>
      </c>
      <c r="C541" s="37" t="s">
        <v>61</v>
      </c>
      <c r="D541" s="38"/>
      <c r="E541" s="10"/>
    </row>
    <row r="542" customFormat="false" ht="14.25" hidden="false" customHeight="false" outlineLevel="0" collapsed="false">
      <c r="A542" s="7"/>
      <c r="B542" s="7"/>
      <c r="C542" s="19"/>
      <c r="D542" s="19"/>
      <c r="E542" s="7"/>
    </row>
    <row r="543" customFormat="false" ht="14.25" hidden="false" customHeight="false" outlineLevel="0" collapsed="false">
      <c r="A543" s="6"/>
      <c r="B543" s="48" t="s">
        <v>971</v>
      </c>
      <c r="C543" s="6"/>
      <c r="D543" s="6"/>
      <c r="E543" s="6"/>
    </row>
    <row r="544" customFormat="false" ht="14.25" hidden="false" customHeight="false" outlineLevel="0" collapsed="false">
      <c r="A544" s="7"/>
      <c r="B544" s="21"/>
      <c r="C544" s="7"/>
      <c r="D544" s="7"/>
      <c r="E544" s="7"/>
    </row>
    <row r="545" customFormat="false" ht="14.25" hidden="false" customHeight="false" outlineLevel="0" collapsed="false">
      <c r="A545" s="7"/>
      <c r="B545" s="21"/>
      <c r="C545" s="7"/>
      <c r="D545" s="7"/>
      <c r="E545" s="7"/>
    </row>
    <row r="546" customFormat="false" ht="14.25" hidden="false" customHeight="false" outlineLevel="0" collapsed="false">
      <c r="A546" s="7"/>
      <c r="B546" s="21"/>
      <c r="C546" s="7"/>
      <c r="D546" s="7"/>
      <c r="E546" s="7"/>
    </row>
    <row r="547" customFormat="false" ht="14.25" hidden="false" customHeight="false" outlineLevel="0" collapsed="false">
      <c r="A547" s="7"/>
      <c r="B547" s="21"/>
      <c r="C547" s="7"/>
      <c r="D547" s="7"/>
      <c r="E547" s="7"/>
    </row>
    <row r="548" customFormat="false" ht="14.25" hidden="false" customHeight="false" outlineLevel="0" collapsed="false">
      <c r="A548" s="6"/>
      <c r="B548" s="48" t="s">
        <v>972</v>
      </c>
      <c r="C548" s="6"/>
      <c r="D548" s="6"/>
      <c r="E548" s="6"/>
    </row>
    <row r="549" customFormat="false" ht="14.25" hidden="false" customHeight="false" outlineLevel="0" collapsed="false">
      <c r="A549" s="7"/>
      <c r="B549" s="7"/>
      <c r="C549" s="7"/>
      <c r="D549" s="7"/>
      <c r="E549" s="7"/>
    </row>
    <row r="550" customFormat="false" ht="14.25" hidden="false" customHeight="false" outlineLevel="0" collapsed="false">
      <c r="A550" s="7"/>
      <c r="B550" s="21"/>
      <c r="C550" s="7"/>
      <c r="D550" s="7"/>
      <c r="E550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42"/>
    <col collapsed="false" customWidth="true" hidden="false" outlineLevel="0" max="5" min="5" style="0" width="7"/>
    <col collapsed="false" customWidth="true" hidden="false" outlineLevel="0" max="6" min="6" style="0" width="24"/>
    <col collapsed="false" customWidth="true" hidden="false" outlineLevel="0" max="7" min="7" style="0" width="7"/>
    <col collapsed="false" customWidth="true" hidden="false" outlineLevel="0" max="8" min="8" style="0" width="10"/>
    <col collapsed="false" customWidth="true" hidden="false" outlineLevel="0" max="9" min="9" style="0" width="48"/>
    <col collapsed="false" customWidth="true" hidden="false" outlineLevel="0" max="10" min="10" style="0" width="30"/>
    <col collapsed="false" customWidth="true" hidden="false" outlineLevel="0" max="11" min="11" style="0" width="18"/>
    <col collapsed="false" customWidth="true" hidden="false" outlineLevel="0" max="12" min="12" style="0" width="30"/>
    <col collapsed="false" customWidth="true" hidden="false" outlineLevel="0" max="13" min="13" style="0" width="12"/>
    <col collapsed="false" customWidth="true" hidden="false" outlineLevel="0" max="14" min="14" style="0" width="30"/>
  </cols>
  <sheetData>
    <row r="1" customFormat="false" ht="15" hidden="false" customHeight="false" outlineLevel="0" collapsed="false">
      <c r="A1" s="2" t="s">
        <v>48</v>
      </c>
    </row>
    <row r="2" customFormat="false" ht="17.35" hidden="false" customHeight="false" outlineLevel="0" collapsed="false">
      <c r="A2" s="49" t="s">
        <v>973</v>
      </c>
    </row>
    <row r="3" customFormat="false" ht="15" hidden="false" customHeight="false" outlineLevel="0" collapsed="false">
      <c r="A3" s="2" t="s">
        <v>974</v>
      </c>
    </row>
    <row r="5" customFormat="false" ht="46.25" hidden="false" customHeight="false" outlineLevel="0" collapsed="false">
      <c r="A5" s="25" t="s">
        <v>975</v>
      </c>
      <c r="B5" s="25" t="s">
        <v>12</v>
      </c>
      <c r="C5" s="25" t="s">
        <v>976</v>
      </c>
      <c r="D5" s="25" t="s">
        <v>977</v>
      </c>
      <c r="E5" s="25" t="s">
        <v>978</v>
      </c>
      <c r="F5" s="25" t="s">
        <v>22</v>
      </c>
      <c r="G5" s="25" t="s">
        <v>979</v>
      </c>
      <c r="H5" s="25" t="s">
        <v>980</v>
      </c>
      <c r="I5" s="25" t="s">
        <v>981</v>
      </c>
      <c r="J5" s="25" t="s">
        <v>982</v>
      </c>
      <c r="K5" s="25" t="s">
        <v>983</v>
      </c>
      <c r="L5" s="25" t="s">
        <v>984</v>
      </c>
      <c r="M5" s="25" t="s">
        <v>985</v>
      </c>
      <c r="N5" s="25" t="s">
        <v>986</v>
      </c>
    </row>
    <row r="6" customFormat="false" ht="15" hidden="false" customHeight="false" outlineLevel="0" collapsed="false">
      <c r="A6" s="10" t="n">
        <v>1</v>
      </c>
      <c r="B6" s="10" t="s">
        <v>15</v>
      </c>
      <c r="C6" s="8" t="s">
        <v>839</v>
      </c>
      <c r="D6" s="10" t="str">
        <f aca="false">IF(C6="","",IFERROR(INDEX(NIVEL!$B:$B,MATCH(C6,NIVEL!$A:$A,0)),"¡Código no existe!"))</f>
        <v>Junta de Expansión Antivibratoria D=2"</v>
      </c>
      <c r="E6" s="10" t="str">
        <f aca="false">IF(C6="","",IFERROR(INDEX(NIVEL!$C:$C,MATCH(C6,NIVEL!$A:$A,0)),""))</f>
        <v>Un.</v>
      </c>
      <c r="F6" s="10" t="s">
        <v>987</v>
      </c>
      <c r="G6" s="10" t="n">
        <f aca="false">IFERROR(MATCH(F6,LISTAS!$D$2:$D$22,0),99)</f>
        <v>1</v>
      </c>
      <c r="H6" s="13" t="n">
        <v>1</v>
      </c>
      <c r="I6" s="10" t="s">
        <v>988</v>
      </c>
      <c r="J6" s="10" t="s">
        <v>989</v>
      </c>
      <c r="K6" s="10" t="s">
        <v>990</v>
      </c>
      <c r="L6" s="10"/>
      <c r="M6" s="10" t="str">
        <f aca="false">IF(C6="","SIN ASIGNAR","ASIGNADO")</f>
        <v>ASIGNADO</v>
      </c>
      <c r="N6" s="10" t="s">
        <v>991</v>
      </c>
    </row>
    <row r="7" customFormat="false" ht="15" hidden="false" customHeight="false" outlineLevel="0" collapsed="false">
      <c r="A7" s="10" t="n">
        <v>2</v>
      </c>
      <c r="B7" s="10" t="s">
        <v>15</v>
      </c>
      <c r="C7" s="8" t="s">
        <v>850</v>
      </c>
      <c r="D7" s="10" t="str">
        <f aca="false">IF(C7="","",IFERROR(INDEX(NIVEL!$B:$B,MATCH(C7,NIVEL!$A:$A,0)),"¡Código no existe!"))</f>
        <v>Válvulas de Compuerta De ø2"</v>
      </c>
      <c r="E7" s="10" t="str">
        <f aca="false">IF(C7="","",IFERROR(INDEX(NIVEL!$C:$C,MATCH(C7,NIVEL!$A:$A,0)),""))</f>
        <v>Un.</v>
      </c>
      <c r="F7" s="10" t="s">
        <v>987</v>
      </c>
      <c r="G7" s="10" t="n">
        <f aca="false">IFERROR(MATCH(F7,LISTAS!$D$2:$D$22,0),99)</f>
        <v>1</v>
      </c>
      <c r="H7" s="13" t="n">
        <v>1</v>
      </c>
      <c r="I7" s="10" t="s">
        <v>992</v>
      </c>
      <c r="J7" s="10" t="s">
        <v>993</v>
      </c>
      <c r="K7" s="10" t="s">
        <v>990</v>
      </c>
      <c r="L7" s="10"/>
      <c r="M7" s="10" t="str">
        <f aca="false">IF(C7="","SIN ASIGNAR","ASIGNADO")</f>
        <v>ASIGNADO</v>
      </c>
      <c r="N7" s="10" t="s">
        <v>991</v>
      </c>
    </row>
    <row r="8" customFormat="false" ht="15" hidden="false" customHeight="false" outlineLevel="0" collapsed="false">
      <c r="A8" s="10" t="n">
        <v>3</v>
      </c>
      <c r="B8" s="10" t="s">
        <v>15</v>
      </c>
      <c r="C8" s="8" t="s">
        <v>850</v>
      </c>
      <c r="D8" s="10" t="str">
        <f aca="false">IF(C8="","",IFERROR(INDEX(NIVEL!$B:$B,MATCH(C8,NIVEL!$A:$A,0)),"¡Código no existe!"))</f>
        <v>Válvulas de Compuerta De ø2"</v>
      </c>
      <c r="E8" s="10" t="str">
        <f aca="false">IF(C8="","",IFERROR(INDEX(NIVEL!$C:$C,MATCH(C8,NIVEL!$A:$A,0)),""))</f>
        <v>Un.</v>
      </c>
      <c r="F8" s="10" t="s">
        <v>987</v>
      </c>
      <c r="G8" s="10" t="n">
        <f aca="false">IFERROR(MATCH(F8,LISTAS!$D$2:$D$22,0),99)</f>
        <v>1</v>
      </c>
      <c r="H8" s="13" t="n">
        <v>1</v>
      </c>
      <c r="I8" s="10" t="s">
        <v>992</v>
      </c>
      <c r="J8" s="10" t="s">
        <v>993</v>
      </c>
      <c r="K8" s="10" t="s">
        <v>990</v>
      </c>
      <c r="L8" s="10"/>
      <c r="M8" s="10" t="str">
        <f aca="false">IF(C8="","SIN ASIGNAR","ASIGNADO")</f>
        <v>ASIGNADO</v>
      </c>
      <c r="N8" s="10" t="s">
        <v>991</v>
      </c>
    </row>
    <row r="9" customFormat="false" ht="15" hidden="false" customHeight="false" outlineLevel="0" collapsed="false">
      <c r="A9" s="10" t="n">
        <v>4</v>
      </c>
      <c r="B9" s="10" t="s">
        <v>15</v>
      </c>
      <c r="C9" s="8" t="s">
        <v>850</v>
      </c>
      <c r="D9" s="10" t="str">
        <f aca="false">IF(C9="","",IFERROR(INDEX(NIVEL!$B:$B,MATCH(C9,NIVEL!$A:$A,0)),"¡Código no existe!"))</f>
        <v>Válvulas de Compuerta De ø2"</v>
      </c>
      <c r="E9" s="10" t="str">
        <f aca="false">IF(C9="","",IFERROR(INDEX(NIVEL!$C:$C,MATCH(C9,NIVEL!$A:$A,0)),""))</f>
        <v>Un.</v>
      </c>
      <c r="F9" s="10" t="s">
        <v>987</v>
      </c>
      <c r="G9" s="10" t="n">
        <f aca="false">IFERROR(MATCH(F9,LISTAS!$D$2:$D$22,0),99)</f>
        <v>1</v>
      </c>
      <c r="H9" s="13" t="n">
        <v>1</v>
      </c>
      <c r="I9" s="10" t="s">
        <v>994</v>
      </c>
      <c r="J9" s="10" t="s">
        <v>993</v>
      </c>
      <c r="K9" s="10" t="s">
        <v>990</v>
      </c>
      <c r="L9" s="10"/>
      <c r="M9" s="10" t="str">
        <f aca="false">IF(C9="","SIN ASIGNAR","ASIGNADO")</f>
        <v>ASIGNADO</v>
      </c>
      <c r="N9" s="10" t="s">
        <v>995</v>
      </c>
    </row>
    <row r="10" customFormat="false" ht="15" hidden="false" customHeight="false" outlineLevel="0" collapsed="false">
      <c r="A10" s="10" t="n">
        <v>5</v>
      </c>
      <c r="B10" s="10" t="s">
        <v>15</v>
      </c>
      <c r="C10" s="8" t="s">
        <v>885</v>
      </c>
      <c r="D10" s="10" t="str">
        <f aca="false">IF(C10="","",IFERROR(INDEX(NIVEL!$B:$B,MATCH(C10,NIVEL!$A:$A,0)),"¡Código no existe!"))</f>
        <v>Cabezal de Pruebas De ø6" con 3 salidas de ø2½"</v>
      </c>
      <c r="E10" s="10" t="str">
        <f aca="false">IF(C10="","",IFERROR(INDEX(NIVEL!$C:$C,MATCH(C10,NIVEL!$A:$A,0)),""))</f>
        <v>Un.</v>
      </c>
      <c r="F10" s="10" t="s">
        <v>987</v>
      </c>
      <c r="G10" s="10" t="n">
        <f aca="false">IFERROR(MATCH(F10,LISTAS!$D$2:$D$22,0),99)</f>
        <v>1</v>
      </c>
      <c r="H10" s="13" t="n">
        <v>1</v>
      </c>
      <c r="I10" s="10" t="s">
        <v>996</v>
      </c>
      <c r="J10" s="10" t="s">
        <v>997</v>
      </c>
      <c r="K10" s="10" t="s">
        <v>998</v>
      </c>
      <c r="L10" s="10"/>
      <c r="M10" s="10" t="str">
        <f aca="false">IF(C10="","SIN ASIGNAR","ASIGNADO")</f>
        <v>ASIGNADO</v>
      </c>
      <c r="N10" s="10" t="s">
        <v>991</v>
      </c>
    </row>
    <row r="11" customFormat="false" ht="15" hidden="false" customHeight="false" outlineLevel="0" collapsed="false">
      <c r="A11" s="10" t="n">
        <v>6</v>
      </c>
      <c r="B11" s="10" t="s">
        <v>15</v>
      </c>
      <c r="C11" s="8" t="s">
        <v>887</v>
      </c>
      <c r="D11" s="10" t="str">
        <f aca="false">IF(C11="","",IFERROR(INDEX(NIVEL!$B:$B,MATCH(C11,NIVEL!$A:$A,0)),"¡Código no existe!"))</f>
        <v>Caudalimetro D=6"</v>
      </c>
      <c r="E11" s="10" t="str">
        <f aca="false">IF(C11="","",IFERROR(INDEX(NIVEL!$C:$C,MATCH(C11,NIVEL!$A:$A,0)),""))</f>
        <v>Un.</v>
      </c>
      <c r="F11" s="10" t="s">
        <v>987</v>
      </c>
      <c r="G11" s="10" t="n">
        <f aca="false">IFERROR(MATCH(F11,LISTAS!$D$2:$D$22,0),99)</f>
        <v>1</v>
      </c>
      <c r="H11" s="13" t="n">
        <v>1</v>
      </c>
      <c r="I11" s="10" t="s">
        <v>999</v>
      </c>
      <c r="J11" s="10" t="s">
        <v>1000</v>
      </c>
      <c r="K11" s="10" t="s">
        <v>1001</v>
      </c>
      <c r="L11" s="10"/>
      <c r="M11" s="10" t="str">
        <f aca="false">IF(C11="","SIN ASIGNAR","ASIGNADO")</f>
        <v>ASIGNADO</v>
      </c>
      <c r="N11" s="10" t="s">
        <v>991</v>
      </c>
    </row>
    <row r="12" customFormat="false" ht="15" hidden="false" customHeight="false" outlineLevel="0" collapsed="false">
      <c r="A12" s="10" t="n">
        <v>7</v>
      </c>
      <c r="B12" s="10" t="s">
        <v>15</v>
      </c>
      <c r="C12" s="8" t="s">
        <v>727</v>
      </c>
      <c r="D12" s="10" t="str">
        <f aca="false">IF(C12="","",IFERROR(INDEX(NIVEL!$B:$B,MATCH(C12,NIVEL!$A:$A,0)),"¡Código no existe!"))</f>
        <v>Pasante en muro contencion 6"</v>
      </c>
      <c r="E12" s="10" t="str">
        <f aca="false">IF(C12="","",IFERROR(INDEX(NIVEL!$C:$C,MATCH(C12,NIVEL!$A:$A,0)),""))</f>
        <v>Un.</v>
      </c>
      <c r="F12" s="10" t="s">
        <v>987</v>
      </c>
      <c r="G12" s="10" t="n">
        <f aca="false">IFERROR(MATCH(F12,LISTAS!$D$2:$D$22,0),99)</f>
        <v>1</v>
      </c>
      <c r="H12" s="13" t="n">
        <v>1</v>
      </c>
      <c r="I12" s="10" t="s">
        <v>1002</v>
      </c>
      <c r="J12" s="10" t="s">
        <v>1003</v>
      </c>
      <c r="K12" s="10" t="s">
        <v>1001</v>
      </c>
      <c r="L12" s="10"/>
      <c r="M12" s="10" t="str">
        <f aca="false">IF(C12="","SIN ASIGNAR","ASIGNADO")</f>
        <v>ASIGNADO</v>
      </c>
      <c r="N12" s="10" t="s">
        <v>995</v>
      </c>
    </row>
    <row r="13" customFormat="false" ht="15" hidden="false" customHeight="false" outlineLevel="0" collapsed="false">
      <c r="A13" s="10" t="n">
        <v>8</v>
      </c>
      <c r="B13" s="10" t="s">
        <v>15</v>
      </c>
      <c r="C13" s="8" t="s">
        <v>878</v>
      </c>
      <c r="D13" s="10" t="str">
        <f aca="false">IF(C13="","",IFERROR(INDEX(NIVEL!$B:$B,MATCH(C13,NIVEL!$A:$A,0)),"¡Código no existe!"))</f>
        <v>Placa Antivortice De ø6"</v>
      </c>
      <c r="E13" s="10" t="str">
        <f aca="false">IF(C13="","",IFERROR(INDEX(NIVEL!$C:$C,MATCH(C13,NIVEL!$A:$A,0)),""))</f>
        <v>Un.</v>
      </c>
      <c r="F13" s="10" t="s">
        <v>987</v>
      </c>
      <c r="G13" s="10" t="n">
        <f aca="false">IFERROR(MATCH(F13,LISTAS!$D$2:$D$22,0),99)</f>
        <v>1</v>
      </c>
      <c r="H13" s="13" t="n">
        <v>1</v>
      </c>
      <c r="I13" s="10" t="s">
        <v>1004</v>
      </c>
      <c r="J13" s="10" t="s">
        <v>1005</v>
      </c>
      <c r="K13" s="10" t="s">
        <v>1001</v>
      </c>
      <c r="L13" s="10"/>
      <c r="M13" s="10" t="str">
        <f aca="false">IF(C13="","SIN ASIGNAR","ASIGNADO")</f>
        <v>ASIGNADO</v>
      </c>
      <c r="N13" s="10" t="s">
        <v>991</v>
      </c>
    </row>
    <row r="14" customFormat="false" ht="15" hidden="false" customHeight="false" outlineLevel="0" collapsed="false">
      <c r="A14" s="10" t="n">
        <v>9</v>
      </c>
      <c r="B14" s="10" t="s">
        <v>15</v>
      </c>
      <c r="C14" s="8" t="s">
        <v>872</v>
      </c>
      <c r="D14" s="10" t="str">
        <f aca="false">IF(C14="","",IFERROR(INDEX(NIVEL!$B:$B,MATCH(C14,NIVEL!$A:$A,0)),"¡Código no existe!"))</f>
        <v>Válvulas OS&amp;Y De ø6"</v>
      </c>
      <c r="E14" s="10" t="str">
        <f aca="false">IF(C14="","",IFERROR(INDEX(NIVEL!$C:$C,MATCH(C14,NIVEL!$A:$A,0)),""))</f>
        <v>Un.</v>
      </c>
      <c r="F14" s="10" t="s">
        <v>987</v>
      </c>
      <c r="G14" s="10" t="n">
        <f aca="false">IFERROR(MATCH(F14,LISTAS!$D$2:$D$22,0),99)</f>
        <v>1</v>
      </c>
      <c r="H14" s="13" t="n">
        <v>1</v>
      </c>
      <c r="I14" s="10" t="s">
        <v>1006</v>
      </c>
      <c r="J14" s="10" t="s">
        <v>1007</v>
      </c>
      <c r="K14" s="10" t="s">
        <v>1001</v>
      </c>
      <c r="L14" s="10"/>
      <c r="M14" s="10" t="str">
        <f aca="false">IF(C14="","SIN ASIGNAR","ASIGNADO")</f>
        <v>ASIGNADO</v>
      </c>
      <c r="N14" s="10" t="s">
        <v>991</v>
      </c>
    </row>
    <row r="15" customFormat="false" ht="15" hidden="false" customHeight="false" outlineLevel="0" collapsed="false">
      <c r="A15" s="10" t="n">
        <v>10</v>
      </c>
      <c r="B15" s="10" t="s">
        <v>15</v>
      </c>
      <c r="C15" s="8" t="s">
        <v>872</v>
      </c>
      <c r="D15" s="10" t="str">
        <f aca="false">IF(C15="","",IFERROR(INDEX(NIVEL!$B:$B,MATCH(C15,NIVEL!$A:$A,0)),"¡Código no existe!"))</f>
        <v>Válvulas OS&amp;Y De ø6"</v>
      </c>
      <c r="E15" s="10" t="str">
        <f aca="false">IF(C15="","",IFERROR(INDEX(NIVEL!$C:$C,MATCH(C15,NIVEL!$A:$A,0)),""))</f>
        <v>Un.</v>
      </c>
      <c r="F15" s="10" t="s">
        <v>987</v>
      </c>
      <c r="G15" s="10" t="n">
        <f aca="false">IFERROR(MATCH(F15,LISTAS!$D$2:$D$22,0),99)</f>
        <v>1</v>
      </c>
      <c r="H15" s="13" t="n">
        <v>1</v>
      </c>
      <c r="I15" s="10" t="s">
        <v>1006</v>
      </c>
      <c r="J15" s="10" t="s">
        <v>1007</v>
      </c>
      <c r="K15" s="10" t="s">
        <v>1001</v>
      </c>
      <c r="L15" s="10"/>
      <c r="M15" s="10" t="str">
        <f aca="false">IF(C15="","SIN ASIGNAR","ASIGNADO")</f>
        <v>ASIGNADO</v>
      </c>
      <c r="N15" s="10" t="s">
        <v>991</v>
      </c>
    </row>
    <row r="16" customFormat="false" ht="15" hidden="false" customHeight="false" outlineLevel="0" collapsed="false">
      <c r="A16" s="10" t="n">
        <v>11</v>
      </c>
      <c r="B16" s="10" t="s">
        <v>15</v>
      </c>
      <c r="C16" s="8" t="s">
        <v>872</v>
      </c>
      <c r="D16" s="10" t="str">
        <f aca="false">IF(C16="","",IFERROR(INDEX(NIVEL!$B:$B,MATCH(C16,NIVEL!$A:$A,0)),"¡Código no existe!"))</f>
        <v>Válvulas OS&amp;Y De ø6"</v>
      </c>
      <c r="E16" s="10" t="str">
        <f aca="false">IF(C16="","",IFERROR(INDEX(NIVEL!$C:$C,MATCH(C16,NIVEL!$A:$A,0)),""))</f>
        <v>Un.</v>
      </c>
      <c r="F16" s="10" t="s">
        <v>987</v>
      </c>
      <c r="G16" s="10" t="n">
        <f aca="false">IFERROR(MATCH(F16,LISTAS!$D$2:$D$22,0),99)</f>
        <v>1</v>
      </c>
      <c r="H16" s="13" t="n">
        <v>1</v>
      </c>
      <c r="I16" s="10" t="s">
        <v>1006</v>
      </c>
      <c r="J16" s="10" t="s">
        <v>1007</v>
      </c>
      <c r="K16" s="10" t="s">
        <v>1001</v>
      </c>
      <c r="L16" s="10"/>
      <c r="M16" s="10" t="str">
        <f aca="false">IF(C16="","SIN ASIGNAR","ASIGNADO")</f>
        <v>ASIGNADO</v>
      </c>
      <c r="N16" s="10" t="s">
        <v>991</v>
      </c>
    </row>
    <row r="17" customFormat="false" ht="15" hidden="false" customHeight="false" outlineLevel="0" collapsed="false">
      <c r="A17" s="10" t="n">
        <v>12</v>
      </c>
      <c r="B17" s="10" t="s">
        <v>15</v>
      </c>
      <c r="C17" s="8" t="s">
        <v>872</v>
      </c>
      <c r="D17" s="10" t="str">
        <f aca="false">IF(C17="","",IFERROR(INDEX(NIVEL!$B:$B,MATCH(C17,NIVEL!$A:$A,0)),"¡Código no existe!"))</f>
        <v>Válvulas OS&amp;Y De ø6"</v>
      </c>
      <c r="E17" s="10" t="str">
        <f aca="false">IF(C17="","",IFERROR(INDEX(NIVEL!$C:$C,MATCH(C17,NIVEL!$A:$A,0)),""))</f>
        <v>Un.</v>
      </c>
      <c r="F17" s="10" t="s">
        <v>987</v>
      </c>
      <c r="G17" s="10" t="n">
        <f aca="false">IFERROR(MATCH(F17,LISTAS!$D$2:$D$22,0),99)</f>
        <v>1</v>
      </c>
      <c r="H17" s="13" t="n">
        <v>1</v>
      </c>
      <c r="I17" s="10" t="s">
        <v>1006</v>
      </c>
      <c r="J17" s="10" t="s">
        <v>1007</v>
      </c>
      <c r="K17" s="10" t="s">
        <v>1001</v>
      </c>
      <c r="L17" s="10"/>
      <c r="M17" s="10" t="str">
        <f aca="false">IF(C17="","SIN ASIGNAR","ASIGNADO")</f>
        <v>ASIGNADO</v>
      </c>
      <c r="N17" s="10" t="s">
        <v>991</v>
      </c>
    </row>
    <row r="18" customFormat="false" ht="15" hidden="false" customHeight="false" outlineLevel="0" collapsed="false">
      <c r="A18" s="10" t="n">
        <v>13</v>
      </c>
      <c r="B18" s="10" t="s">
        <v>15</v>
      </c>
      <c r="C18" s="8" t="s">
        <v>872</v>
      </c>
      <c r="D18" s="10" t="str">
        <f aca="false">IF(C18="","",IFERROR(INDEX(NIVEL!$B:$B,MATCH(C18,NIVEL!$A:$A,0)),"¡Código no existe!"))</f>
        <v>Válvulas OS&amp;Y De ø6"</v>
      </c>
      <c r="E18" s="10" t="str">
        <f aca="false">IF(C18="","",IFERROR(INDEX(NIVEL!$C:$C,MATCH(C18,NIVEL!$A:$A,0)),""))</f>
        <v>Un.</v>
      </c>
      <c r="F18" s="10" t="s">
        <v>987</v>
      </c>
      <c r="G18" s="10" t="n">
        <f aca="false">IFERROR(MATCH(F18,LISTAS!$D$2:$D$22,0),99)</f>
        <v>1</v>
      </c>
      <c r="H18" s="13" t="n">
        <v>1</v>
      </c>
      <c r="I18" s="10" t="s">
        <v>1006</v>
      </c>
      <c r="J18" s="10" t="s">
        <v>1007</v>
      </c>
      <c r="K18" s="10" t="s">
        <v>1001</v>
      </c>
      <c r="L18" s="10"/>
      <c r="M18" s="10" t="str">
        <f aca="false">IF(C18="","SIN ASIGNAR","ASIGNADO")</f>
        <v>ASIGNADO</v>
      </c>
      <c r="N18" s="10" t="s">
        <v>991</v>
      </c>
    </row>
    <row r="19" customFormat="false" ht="15" hidden="false" customHeight="false" outlineLevel="0" collapsed="false">
      <c r="A19" s="10" t="n">
        <v>14</v>
      </c>
      <c r="B19" s="10" t="s">
        <v>15</v>
      </c>
      <c r="C19" s="8" t="s">
        <v>872</v>
      </c>
      <c r="D19" s="10" t="str">
        <f aca="false">IF(C19="","",IFERROR(INDEX(NIVEL!$B:$B,MATCH(C19,NIVEL!$A:$A,0)),"¡Código no existe!"))</f>
        <v>Válvulas OS&amp;Y De ø6"</v>
      </c>
      <c r="E19" s="10" t="str">
        <f aca="false">IF(C19="","",IFERROR(INDEX(NIVEL!$C:$C,MATCH(C19,NIVEL!$A:$A,0)),""))</f>
        <v>Un.</v>
      </c>
      <c r="F19" s="10" t="s">
        <v>987</v>
      </c>
      <c r="G19" s="10" t="n">
        <f aca="false">IFERROR(MATCH(F19,LISTAS!$D$2:$D$22,0),99)</f>
        <v>1</v>
      </c>
      <c r="H19" s="13" t="n">
        <v>1</v>
      </c>
      <c r="I19" s="10" t="s">
        <v>1006</v>
      </c>
      <c r="J19" s="10" t="s">
        <v>1007</v>
      </c>
      <c r="K19" s="10" t="s">
        <v>1001</v>
      </c>
      <c r="L19" s="10"/>
      <c r="M19" s="10" t="str">
        <f aca="false">IF(C19="","SIN ASIGNAR","ASIGNADO")</f>
        <v>ASIGNADO</v>
      </c>
      <c r="N19" s="10" t="s">
        <v>991</v>
      </c>
    </row>
    <row r="20" customFormat="false" ht="15" hidden="false" customHeight="false" outlineLevel="0" collapsed="false">
      <c r="A20" s="10" t="n">
        <v>15</v>
      </c>
      <c r="B20" s="10" t="s">
        <v>15</v>
      </c>
      <c r="C20" s="8" t="s">
        <v>872</v>
      </c>
      <c r="D20" s="10" t="str">
        <f aca="false">IF(C20="","",IFERROR(INDEX(NIVEL!$B:$B,MATCH(C20,NIVEL!$A:$A,0)),"¡Código no existe!"))</f>
        <v>Válvulas OS&amp;Y De ø6"</v>
      </c>
      <c r="E20" s="10" t="str">
        <f aca="false">IF(C20="","",IFERROR(INDEX(NIVEL!$C:$C,MATCH(C20,NIVEL!$A:$A,0)),""))</f>
        <v>Un.</v>
      </c>
      <c r="F20" s="10" t="s">
        <v>987</v>
      </c>
      <c r="G20" s="10" t="n">
        <f aca="false">IFERROR(MATCH(F20,LISTAS!$D$2:$D$22,0),99)</f>
        <v>1</v>
      </c>
      <c r="H20" s="13" t="n">
        <v>1</v>
      </c>
      <c r="I20" s="10" t="s">
        <v>1006</v>
      </c>
      <c r="J20" s="10" t="s">
        <v>1007</v>
      </c>
      <c r="K20" s="10" t="s">
        <v>1001</v>
      </c>
      <c r="L20" s="10"/>
      <c r="M20" s="10" t="str">
        <f aca="false">IF(C20="","SIN ASIGNAR","ASIGNADO")</f>
        <v>ASIGNADO</v>
      </c>
      <c r="N20" s="10" t="s">
        <v>991</v>
      </c>
    </row>
    <row r="21" customFormat="false" ht="15" hidden="false" customHeight="false" outlineLevel="0" collapsed="false">
      <c r="A21" s="10" t="n">
        <v>16</v>
      </c>
      <c r="B21" s="10" t="s">
        <v>15</v>
      </c>
      <c r="C21" s="8" t="s">
        <v>777</v>
      </c>
      <c r="D21" s="10" t="str">
        <f aca="false">IF(C21="","",IFERROR(INDEX(NIVEL!$B:$B,MATCH(C21,NIVEL!$A:$A,0)),"¡Código no existe!"))</f>
        <v>Suministro y Conexión válvula sensora de flujo y válvula de control abierto-cerrado ø2-1/2"</v>
      </c>
      <c r="E21" s="10" t="str">
        <f aca="false">IF(C21="","",IFERROR(INDEX(NIVEL!$C:$C,MATCH(C21,NIVEL!$A:$A,0)),""))</f>
        <v>Un.</v>
      </c>
      <c r="F21" s="10" t="s">
        <v>1008</v>
      </c>
      <c r="G21" s="10" t="n">
        <f aca="false">IFERROR(MATCH(F21,LISTAS!$D$2:$D$22,0),99)</f>
        <v>3</v>
      </c>
      <c r="H21" s="13" t="n">
        <v>1</v>
      </c>
      <c r="I21" s="10" t="s">
        <v>1009</v>
      </c>
      <c r="J21" s="10"/>
      <c r="K21" s="10" t="s">
        <v>1010</v>
      </c>
      <c r="L21" s="10"/>
      <c r="M21" s="10" t="str">
        <f aca="false">IF(C21="","SIN ASIGNAR","ASIGNADO")</f>
        <v>ASIGNADO</v>
      </c>
      <c r="N21" s="10" t="s">
        <v>995</v>
      </c>
    </row>
    <row r="22" customFormat="false" ht="15" hidden="false" customHeight="false" outlineLevel="0" collapsed="false">
      <c r="A22" s="10" t="n">
        <v>17</v>
      </c>
      <c r="B22" s="10" t="s">
        <v>15</v>
      </c>
      <c r="C22" s="8" t="s">
        <v>777</v>
      </c>
      <c r="D22" s="10" t="str">
        <f aca="false">IF(C22="","",IFERROR(INDEX(NIVEL!$B:$B,MATCH(C22,NIVEL!$A:$A,0)),"¡Código no existe!"))</f>
        <v>Suministro y Conexión válvula sensora de flujo y válvula de control abierto-cerrado ø2-1/2"</v>
      </c>
      <c r="E22" s="10" t="str">
        <f aca="false">IF(C22="","",IFERROR(INDEX(NIVEL!$C:$C,MATCH(C22,NIVEL!$A:$A,0)),""))</f>
        <v>Un.</v>
      </c>
      <c r="F22" s="10" t="s">
        <v>1011</v>
      </c>
      <c r="G22" s="10" t="n">
        <f aca="false">IFERROR(MATCH(F22,LISTAS!$D$2:$D$22,0),99)</f>
        <v>4</v>
      </c>
      <c r="H22" s="13" t="n">
        <v>1</v>
      </c>
      <c r="I22" s="10" t="s">
        <v>1009</v>
      </c>
      <c r="J22" s="10"/>
      <c r="K22" s="10" t="s">
        <v>1010</v>
      </c>
      <c r="L22" s="10"/>
      <c r="M22" s="10" t="str">
        <f aca="false">IF(C22="","SIN ASIGNAR","ASIGNADO")</f>
        <v>ASIGNADO</v>
      </c>
      <c r="N22" s="10" t="s">
        <v>995</v>
      </c>
    </row>
    <row r="23" customFormat="false" ht="15" hidden="false" customHeight="false" outlineLevel="0" collapsed="false">
      <c r="A23" s="10" t="n">
        <v>18</v>
      </c>
      <c r="B23" s="10" t="s">
        <v>15</v>
      </c>
      <c r="C23" s="8" t="s">
        <v>777</v>
      </c>
      <c r="D23" s="10" t="str">
        <f aca="false">IF(C23="","",IFERROR(INDEX(NIVEL!$B:$B,MATCH(C23,NIVEL!$A:$A,0)),"¡Código no existe!"))</f>
        <v>Suministro y Conexión válvula sensora de flujo y válvula de control abierto-cerrado ø2-1/2"</v>
      </c>
      <c r="E23" s="10" t="str">
        <f aca="false">IF(C23="","",IFERROR(INDEX(NIVEL!$C:$C,MATCH(C23,NIVEL!$A:$A,0)),""))</f>
        <v>Un.</v>
      </c>
      <c r="F23" s="10" t="s">
        <v>1012</v>
      </c>
      <c r="G23" s="10" t="n">
        <f aca="false">IFERROR(MATCH(F23,LISTAS!$D$2:$D$22,0),99)</f>
        <v>5</v>
      </c>
      <c r="H23" s="13" t="n">
        <v>1</v>
      </c>
      <c r="I23" s="10" t="s">
        <v>1009</v>
      </c>
      <c r="J23" s="10"/>
      <c r="K23" s="10" t="s">
        <v>1010</v>
      </c>
      <c r="L23" s="10"/>
      <c r="M23" s="10" t="str">
        <f aca="false">IF(C23="","SIN ASIGNAR","ASIGNADO")</f>
        <v>ASIGNADO</v>
      </c>
      <c r="N23" s="10" t="s">
        <v>995</v>
      </c>
    </row>
    <row r="24" customFormat="false" ht="15" hidden="false" customHeight="false" outlineLevel="0" collapsed="false">
      <c r="A24" s="10" t="n">
        <v>19</v>
      </c>
      <c r="B24" s="10" t="s">
        <v>15</v>
      </c>
      <c r="C24" s="8" t="s">
        <v>777</v>
      </c>
      <c r="D24" s="10" t="str">
        <f aca="false">IF(C24="","",IFERROR(INDEX(NIVEL!$B:$B,MATCH(C24,NIVEL!$A:$A,0)),"¡Código no existe!"))</f>
        <v>Suministro y Conexión válvula sensora de flujo y válvula de control abierto-cerrado ø2-1/2"</v>
      </c>
      <c r="E24" s="10" t="str">
        <f aca="false">IF(C24="","",IFERROR(INDEX(NIVEL!$C:$C,MATCH(C24,NIVEL!$A:$A,0)),""))</f>
        <v>Un.</v>
      </c>
      <c r="F24" s="10" t="s">
        <v>1013</v>
      </c>
      <c r="G24" s="10" t="n">
        <f aca="false">IFERROR(MATCH(F24,LISTAS!$D$2:$D$22,0),99)</f>
        <v>6</v>
      </c>
      <c r="H24" s="13" t="n">
        <v>1</v>
      </c>
      <c r="I24" s="10" t="s">
        <v>1009</v>
      </c>
      <c r="J24" s="10"/>
      <c r="K24" s="10" t="s">
        <v>1010</v>
      </c>
      <c r="L24" s="10"/>
      <c r="M24" s="10" t="str">
        <f aca="false">IF(C24="","SIN ASIGNAR","ASIGNADO")</f>
        <v>ASIGNADO</v>
      </c>
      <c r="N24" s="10" t="s">
        <v>995</v>
      </c>
    </row>
    <row r="25" customFormat="false" ht="15" hidden="false" customHeight="false" outlineLevel="0" collapsed="false">
      <c r="A25" s="10" t="n">
        <v>20</v>
      </c>
      <c r="B25" s="10" t="s">
        <v>15</v>
      </c>
      <c r="C25" s="8" t="s">
        <v>777</v>
      </c>
      <c r="D25" s="10" t="str">
        <f aca="false">IF(C25="","",IFERROR(INDEX(NIVEL!$B:$B,MATCH(C25,NIVEL!$A:$A,0)),"¡Código no existe!"))</f>
        <v>Suministro y Conexión válvula sensora de flujo y válvula de control abierto-cerrado ø2-1/2"</v>
      </c>
      <c r="E25" s="10" t="str">
        <f aca="false">IF(C25="","",IFERROR(INDEX(NIVEL!$C:$C,MATCH(C25,NIVEL!$A:$A,0)),""))</f>
        <v>Un.</v>
      </c>
      <c r="F25" s="10" t="s">
        <v>1014</v>
      </c>
      <c r="G25" s="10" t="n">
        <f aca="false">IFERROR(MATCH(F25,LISTAS!$D$2:$D$22,0),99)</f>
        <v>7</v>
      </c>
      <c r="H25" s="13" t="n">
        <v>1</v>
      </c>
      <c r="I25" s="10" t="s">
        <v>1009</v>
      </c>
      <c r="J25" s="10"/>
      <c r="K25" s="10" t="s">
        <v>1010</v>
      </c>
      <c r="L25" s="10"/>
      <c r="M25" s="10" t="str">
        <f aca="false">IF(C25="","SIN ASIGNAR","ASIGNADO")</f>
        <v>ASIGNADO</v>
      </c>
      <c r="N25" s="10" t="s">
        <v>995</v>
      </c>
    </row>
    <row r="26" customFormat="false" ht="15" hidden="false" customHeight="false" outlineLevel="0" collapsed="false">
      <c r="A26" s="10" t="n">
        <v>21</v>
      </c>
      <c r="B26" s="10" t="s">
        <v>15</v>
      </c>
      <c r="C26" s="8" t="s">
        <v>777</v>
      </c>
      <c r="D26" s="10" t="str">
        <f aca="false">IF(C26="","",IFERROR(INDEX(NIVEL!$B:$B,MATCH(C26,NIVEL!$A:$A,0)),"¡Código no existe!"))</f>
        <v>Suministro y Conexión válvula sensora de flujo y válvula de control abierto-cerrado ø2-1/2"</v>
      </c>
      <c r="E26" s="10" t="str">
        <f aca="false">IF(C26="","",IFERROR(INDEX(NIVEL!$C:$C,MATCH(C26,NIVEL!$A:$A,0)),""))</f>
        <v>Un.</v>
      </c>
      <c r="F26" s="10" t="s">
        <v>1014</v>
      </c>
      <c r="G26" s="10" t="n">
        <f aca="false">IFERROR(MATCH(F26,LISTAS!$D$2:$D$22,0),99)</f>
        <v>7</v>
      </c>
      <c r="H26" s="13" t="n">
        <v>1</v>
      </c>
      <c r="I26" s="10" t="s">
        <v>1009</v>
      </c>
      <c r="J26" s="10"/>
      <c r="K26" s="10" t="s">
        <v>1010</v>
      </c>
      <c r="L26" s="10"/>
      <c r="M26" s="10" t="str">
        <f aca="false">IF(C26="","SIN ASIGNAR","ASIGNADO")</f>
        <v>ASIGNADO</v>
      </c>
      <c r="N26" s="10" t="s">
        <v>995</v>
      </c>
    </row>
    <row r="27" customFormat="false" ht="15" hidden="false" customHeight="false" outlineLevel="0" collapsed="false">
      <c r="A27" s="10" t="n">
        <v>22</v>
      </c>
      <c r="B27" s="10" t="s">
        <v>15</v>
      </c>
      <c r="C27" s="8" t="s">
        <v>868</v>
      </c>
      <c r="D27" s="10" t="str">
        <f aca="false">IF(C27="","",IFERROR(INDEX(NIVEL!$B:$B,MATCH(C27,NIVEL!$A:$A,0)),"¡Código no existe!"))</f>
        <v>Válvula de Cheque Ranurado De ø4"</v>
      </c>
      <c r="E27" s="10" t="str">
        <f aca="false">IF(C27="","",IFERROR(INDEX(NIVEL!$C:$C,MATCH(C27,NIVEL!$A:$A,0)),""))</f>
        <v>Un.</v>
      </c>
      <c r="F27" s="10" t="s">
        <v>1014</v>
      </c>
      <c r="G27" s="10" t="n">
        <f aca="false">IFERROR(MATCH(F27,LISTAS!$D$2:$D$22,0),99)</f>
        <v>7</v>
      </c>
      <c r="H27" s="13" t="n">
        <v>1</v>
      </c>
      <c r="I27" s="10" t="s">
        <v>1015</v>
      </c>
      <c r="J27" s="10"/>
      <c r="K27" s="10" t="s">
        <v>1016</v>
      </c>
      <c r="L27" s="10"/>
      <c r="M27" s="10" t="str">
        <f aca="false">IF(C27="","SIN ASIGNAR","ASIGNADO")</f>
        <v>ASIGNADO</v>
      </c>
      <c r="N27" s="10" t="s">
        <v>995</v>
      </c>
    </row>
    <row r="28" customFormat="false" ht="15" hidden="false" customHeight="false" outlineLevel="0" collapsed="false">
      <c r="A28" s="10" t="n">
        <v>23</v>
      </c>
      <c r="B28" s="10" t="s">
        <v>15</v>
      </c>
      <c r="C28" s="8" t="s">
        <v>777</v>
      </c>
      <c r="D28" s="10" t="str">
        <f aca="false">IF(C28="","",IFERROR(INDEX(NIVEL!$B:$B,MATCH(C28,NIVEL!$A:$A,0)),"¡Código no existe!"))</f>
        <v>Suministro y Conexión válvula sensora de flujo y válvula de control abierto-cerrado ø2-1/2"</v>
      </c>
      <c r="E28" s="10" t="str">
        <f aca="false">IF(C28="","",IFERROR(INDEX(NIVEL!$C:$C,MATCH(C28,NIVEL!$A:$A,0)),""))</f>
        <v>Un.</v>
      </c>
      <c r="F28" s="10" t="s">
        <v>1017</v>
      </c>
      <c r="G28" s="10" t="n">
        <f aca="false">IFERROR(MATCH(F28,LISTAS!$D$2:$D$22,0),99)</f>
        <v>8</v>
      </c>
      <c r="H28" s="13" t="n">
        <v>1</v>
      </c>
      <c r="I28" s="10" t="s">
        <v>1009</v>
      </c>
      <c r="J28" s="10"/>
      <c r="K28" s="10" t="s">
        <v>1010</v>
      </c>
      <c r="L28" s="10"/>
      <c r="M28" s="10" t="str">
        <f aca="false">IF(C28="","SIN ASIGNAR","ASIGNADO")</f>
        <v>ASIGNADO</v>
      </c>
      <c r="N28" s="10" t="s">
        <v>995</v>
      </c>
    </row>
    <row r="29" customFormat="false" ht="15" hidden="false" customHeight="false" outlineLevel="0" collapsed="false">
      <c r="A29" s="10" t="n">
        <v>24</v>
      </c>
      <c r="B29" s="10" t="s">
        <v>15</v>
      </c>
      <c r="C29" s="8" t="s">
        <v>852</v>
      </c>
      <c r="D29" s="10" t="str">
        <f aca="false">IF(C29="","",IFERROR(INDEX(NIVEL!$B:$B,MATCH(C29,NIVEL!$A:$A,0)),"¡Código no existe!"))</f>
        <v>Válvula de Compuerta De ø1"</v>
      </c>
      <c r="E29" s="10" t="str">
        <f aca="false">IF(C29="","",IFERROR(INDEX(NIVEL!$C:$C,MATCH(C29,NIVEL!$A:$A,0)),""))</f>
        <v>Un.</v>
      </c>
      <c r="F29" s="10" t="s">
        <v>1018</v>
      </c>
      <c r="G29" s="10" t="n">
        <f aca="false">IFERROR(MATCH(F29,LISTAS!$D$2:$D$22,0),99)</f>
        <v>19</v>
      </c>
      <c r="H29" s="13" t="n">
        <v>1</v>
      </c>
      <c r="I29" s="10" t="s">
        <v>1019</v>
      </c>
      <c r="J29" s="10" t="s">
        <v>1020</v>
      </c>
      <c r="K29" s="10" t="s">
        <v>1021</v>
      </c>
      <c r="L29" s="10"/>
      <c r="M29" s="10" t="str">
        <f aca="false">IF(C29="","SIN ASIGNAR","ASIGNADO")</f>
        <v>ASIGNADO</v>
      </c>
      <c r="N29" s="10" t="s">
        <v>995</v>
      </c>
    </row>
    <row r="30" customFormat="false" ht="15" hidden="false" customHeight="false" outlineLevel="0" collapsed="false">
      <c r="A30" s="10" t="n">
        <v>25</v>
      </c>
      <c r="B30" s="10" t="s">
        <v>15</v>
      </c>
      <c r="C30" s="8" t="s">
        <v>852</v>
      </c>
      <c r="D30" s="10" t="str">
        <f aca="false">IF(C30="","",IFERROR(INDEX(NIVEL!$B:$B,MATCH(C30,NIVEL!$A:$A,0)),"¡Código no existe!"))</f>
        <v>Válvula de Compuerta De ø1"</v>
      </c>
      <c r="E30" s="10" t="str">
        <f aca="false">IF(C30="","",IFERROR(INDEX(NIVEL!$C:$C,MATCH(C30,NIVEL!$A:$A,0)),""))</f>
        <v>Un.</v>
      </c>
      <c r="F30" s="10" t="s">
        <v>1018</v>
      </c>
      <c r="G30" s="10" t="n">
        <f aca="false">IFERROR(MATCH(F30,LISTAS!$D$2:$D$22,0),99)</f>
        <v>19</v>
      </c>
      <c r="H30" s="13" t="n">
        <v>1</v>
      </c>
      <c r="I30" s="10" t="s">
        <v>1019</v>
      </c>
      <c r="J30" s="10" t="s">
        <v>1020</v>
      </c>
      <c r="K30" s="10" t="s">
        <v>1021</v>
      </c>
      <c r="L30" s="10"/>
      <c r="M30" s="10" t="str">
        <f aca="false">IF(C30="","SIN ASIGNAR","ASIGNADO")</f>
        <v>ASIGNADO</v>
      </c>
      <c r="N30" s="10" t="s">
        <v>995</v>
      </c>
    </row>
    <row r="31" customFormat="false" ht="15" hidden="false" customHeight="false" outlineLevel="0" collapsed="false">
      <c r="A31" s="10" t="n">
        <v>26</v>
      </c>
      <c r="B31" s="10" t="s">
        <v>15</v>
      </c>
      <c r="C31" s="8" t="s">
        <v>893</v>
      </c>
      <c r="D31" s="10" t="str">
        <f aca="false">IF(C31="","",IFERROR(INDEX(NIVEL!$B:$B,MATCH(C31,NIVEL!$A:$A,0)),"¡Código no existe!"))</f>
        <v>Manometro 0-300 psi</v>
      </c>
      <c r="E31" s="10" t="str">
        <f aca="false">IF(C31="","",IFERROR(INDEX(NIVEL!$C:$C,MATCH(C31,NIVEL!$A:$A,0)),""))</f>
        <v>Un.</v>
      </c>
      <c r="F31" s="10" t="s">
        <v>1022</v>
      </c>
      <c r="G31" s="10" t="n">
        <f aca="false">IFERROR(MATCH(F31,LISTAS!$D$2:$D$22,0),99)</f>
        <v>20</v>
      </c>
      <c r="H31" s="13" t="n">
        <v>1</v>
      </c>
      <c r="I31" s="10" t="s">
        <v>1023</v>
      </c>
      <c r="J31" s="10" t="s">
        <v>1024</v>
      </c>
      <c r="K31" s="10" t="s">
        <v>1025</v>
      </c>
      <c r="L31" s="10"/>
      <c r="M31" s="10" t="str">
        <f aca="false">IF(C31="","SIN ASIGNAR","ASIGNADO")</f>
        <v>ASIGNADO</v>
      </c>
      <c r="N31" s="10" t="s">
        <v>991</v>
      </c>
    </row>
    <row r="32" customFormat="false" ht="15" hidden="false" customHeight="false" outlineLevel="0" collapsed="false">
      <c r="A32" s="10" t="n">
        <v>27</v>
      </c>
      <c r="B32" s="10" t="s">
        <v>15</v>
      </c>
      <c r="C32" s="8" t="s">
        <v>893</v>
      </c>
      <c r="D32" s="10" t="str">
        <f aca="false">IF(C32="","",IFERROR(INDEX(NIVEL!$B:$B,MATCH(C32,NIVEL!$A:$A,0)),"¡Código no existe!"))</f>
        <v>Manometro 0-300 psi</v>
      </c>
      <c r="E32" s="10" t="str">
        <f aca="false">IF(C32="","",IFERROR(INDEX(NIVEL!$C:$C,MATCH(C32,NIVEL!$A:$A,0)),""))</f>
        <v>Un.</v>
      </c>
      <c r="F32" s="10" t="s">
        <v>1022</v>
      </c>
      <c r="G32" s="10" t="n">
        <f aca="false">IFERROR(MATCH(F32,LISTAS!$D$2:$D$22,0),99)</f>
        <v>20</v>
      </c>
      <c r="H32" s="13" t="n">
        <v>1</v>
      </c>
      <c r="I32" s="10" t="s">
        <v>1023</v>
      </c>
      <c r="J32" s="10" t="s">
        <v>1024</v>
      </c>
      <c r="K32" s="10" t="s">
        <v>1025</v>
      </c>
      <c r="L32" s="10"/>
      <c r="M32" s="10" t="str">
        <f aca="false">IF(C32="","SIN ASIGNAR","ASIGNADO")</f>
        <v>ASIGNADO</v>
      </c>
      <c r="N32" s="10" t="s">
        <v>991</v>
      </c>
    </row>
    <row r="33" customFormat="false" ht="15" hidden="false" customHeight="false" outlineLevel="0" collapsed="false">
      <c r="A33" s="10" t="n">
        <v>28</v>
      </c>
      <c r="B33" s="10" t="s">
        <v>15</v>
      </c>
      <c r="C33" s="8" t="s">
        <v>889</v>
      </c>
      <c r="D33" s="10" t="str">
        <f aca="false">IF(C33="","",IFERROR(INDEX(NIVEL!$B:$B,MATCH(C33,NIVEL!$A:$A,0)),"¡Código no existe!"))</f>
        <v>Valvula Ventosa Restrictora UL/FM De ø1"</v>
      </c>
      <c r="E33" s="10" t="str">
        <f aca="false">IF(C33="","",IFERROR(INDEX(NIVEL!$C:$C,MATCH(C33,NIVEL!$A:$A,0)),""))</f>
        <v>Un.</v>
      </c>
      <c r="F33" s="10" t="s">
        <v>1022</v>
      </c>
      <c r="G33" s="10" t="n">
        <f aca="false">IFERROR(MATCH(F33,LISTAS!$D$2:$D$22,0),99)</f>
        <v>20</v>
      </c>
      <c r="H33" s="13" t="n">
        <v>1</v>
      </c>
      <c r="I33" s="10" t="s">
        <v>1026</v>
      </c>
      <c r="J33" s="10" t="s">
        <v>1027</v>
      </c>
      <c r="K33" s="10" t="s">
        <v>1025</v>
      </c>
      <c r="L33" s="10"/>
      <c r="M33" s="10" t="str">
        <f aca="false">IF(C33="","SIN ASIGNAR","ASIGNADO")</f>
        <v>ASIGNADO</v>
      </c>
      <c r="N33" s="10" t="s">
        <v>991</v>
      </c>
    </row>
    <row r="34" customFormat="false" ht="15" hidden="false" customHeight="false" outlineLevel="0" collapsed="false">
      <c r="A34" s="10" t="n">
        <v>29</v>
      </c>
      <c r="B34" s="10" t="s">
        <v>15</v>
      </c>
      <c r="C34" s="8" t="s">
        <v>889</v>
      </c>
      <c r="D34" s="10" t="str">
        <f aca="false">IF(C34="","",IFERROR(INDEX(NIVEL!$B:$B,MATCH(C34,NIVEL!$A:$A,0)),"¡Código no existe!"))</f>
        <v>Valvula Ventosa Restrictora UL/FM De ø1"</v>
      </c>
      <c r="E34" s="10" t="str">
        <f aca="false">IF(C34="","",IFERROR(INDEX(NIVEL!$C:$C,MATCH(C34,NIVEL!$A:$A,0)),""))</f>
        <v>Un.</v>
      </c>
      <c r="F34" s="10" t="s">
        <v>1022</v>
      </c>
      <c r="G34" s="10" t="n">
        <f aca="false">IFERROR(MATCH(F34,LISTAS!$D$2:$D$22,0),99)</f>
        <v>20</v>
      </c>
      <c r="H34" s="13" t="n">
        <v>1</v>
      </c>
      <c r="I34" s="10" t="s">
        <v>1026</v>
      </c>
      <c r="J34" s="10" t="s">
        <v>1027</v>
      </c>
      <c r="K34" s="10" t="s">
        <v>1025</v>
      </c>
      <c r="L34" s="10"/>
      <c r="M34" s="10" t="str">
        <f aca="false">IF(C34="","SIN ASIGNAR","ASIGNADO")</f>
        <v>ASIGNADO</v>
      </c>
      <c r="N34" s="10" t="s">
        <v>991</v>
      </c>
    </row>
    <row r="35" customFormat="false" ht="15" hidden="false" customHeight="false" outlineLevel="0" collapsed="false">
      <c r="A35" s="10" t="n">
        <v>30</v>
      </c>
      <c r="B35" s="10" t="s">
        <v>15</v>
      </c>
      <c r="C35" s="8" t="s">
        <v>852</v>
      </c>
      <c r="D35" s="10" t="str">
        <f aca="false">IF(C35="","",IFERROR(INDEX(NIVEL!$B:$B,MATCH(C35,NIVEL!$A:$A,0)),"¡Código no existe!"))</f>
        <v>Válvula de Compuerta De ø1"</v>
      </c>
      <c r="E35" s="10" t="str">
        <f aca="false">IF(C35="","",IFERROR(INDEX(NIVEL!$C:$C,MATCH(C35,NIVEL!$A:$A,0)),""))</f>
        <v>Un.</v>
      </c>
      <c r="F35" s="10" t="s">
        <v>1022</v>
      </c>
      <c r="G35" s="10" t="n">
        <f aca="false">IFERROR(MATCH(F35,LISTAS!$D$2:$D$22,0),99)</f>
        <v>20</v>
      </c>
      <c r="H35" s="13" t="n">
        <v>1</v>
      </c>
      <c r="I35" s="10" t="s">
        <v>1019</v>
      </c>
      <c r="J35" s="10" t="s">
        <v>1020</v>
      </c>
      <c r="K35" s="10" t="s">
        <v>1021</v>
      </c>
      <c r="L35" s="10"/>
      <c r="M35" s="10" t="str">
        <f aca="false">IF(C35="","SIN ASIGNAR","ASIGNADO")</f>
        <v>ASIGNADO</v>
      </c>
      <c r="N35" s="10" t="s">
        <v>995</v>
      </c>
    </row>
    <row r="36" customFormat="false" ht="15" hidden="false" customHeight="false" outlineLevel="0" collapsed="false">
      <c r="A36" s="10" t="n">
        <v>31</v>
      </c>
      <c r="B36" s="10" t="s">
        <v>15</v>
      </c>
      <c r="C36" s="8" t="s">
        <v>852</v>
      </c>
      <c r="D36" s="10" t="str">
        <f aca="false">IF(C36="","",IFERROR(INDEX(NIVEL!$B:$B,MATCH(C36,NIVEL!$A:$A,0)),"¡Código no existe!"))</f>
        <v>Válvula de Compuerta De ø1"</v>
      </c>
      <c r="E36" s="10" t="str">
        <f aca="false">IF(C36="","",IFERROR(INDEX(NIVEL!$C:$C,MATCH(C36,NIVEL!$A:$A,0)),""))</f>
        <v>Un.</v>
      </c>
      <c r="F36" s="10" t="s">
        <v>1022</v>
      </c>
      <c r="G36" s="10" t="n">
        <f aca="false">IFERROR(MATCH(F36,LISTAS!$D$2:$D$22,0),99)</f>
        <v>20</v>
      </c>
      <c r="H36" s="13" t="n">
        <v>1</v>
      </c>
      <c r="I36" s="10" t="s">
        <v>1019</v>
      </c>
      <c r="J36" s="10" t="s">
        <v>1020</v>
      </c>
      <c r="K36" s="10" t="s">
        <v>1021</v>
      </c>
      <c r="L36" s="10"/>
      <c r="M36" s="10" t="str">
        <f aca="false">IF(C36="","SIN ASIGNAR","ASIGNADO")</f>
        <v>ASIGNADO</v>
      </c>
      <c r="N36" s="10" t="s">
        <v>995</v>
      </c>
    </row>
    <row r="37" customFormat="false" ht="15" hidden="false" customHeight="false" outlineLevel="0" collapsed="false">
      <c r="A37" s="10" t="n">
        <v>32</v>
      </c>
      <c r="B37" s="10" t="s">
        <v>15</v>
      </c>
      <c r="C37" s="8" t="s">
        <v>852</v>
      </c>
      <c r="D37" s="10" t="str">
        <f aca="false">IF(C37="","",IFERROR(INDEX(NIVEL!$B:$B,MATCH(C37,NIVEL!$A:$A,0)),"¡Código no existe!"))</f>
        <v>Válvula de Compuerta De ø1"</v>
      </c>
      <c r="E37" s="10" t="str">
        <f aca="false">IF(C37="","",IFERROR(INDEX(NIVEL!$C:$C,MATCH(C37,NIVEL!$A:$A,0)),""))</f>
        <v>Un.</v>
      </c>
      <c r="F37" s="10" t="s">
        <v>1022</v>
      </c>
      <c r="G37" s="10" t="n">
        <f aca="false">IFERROR(MATCH(F37,LISTAS!$D$2:$D$22,0),99)</f>
        <v>20</v>
      </c>
      <c r="H37" s="13" t="n">
        <v>1</v>
      </c>
      <c r="I37" s="10" t="s">
        <v>1019</v>
      </c>
      <c r="J37" s="10" t="s">
        <v>1020</v>
      </c>
      <c r="K37" s="10" t="s">
        <v>1021</v>
      </c>
      <c r="L37" s="10"/>
      <c r="M37" s="10" t="str">
        <f aca="false">IF(C37="","SIN ASIGNAR","ASIGNADO")</f>
        <v>ASIGNADO</v>
      </c>
      <c r="N37" s="10" t="s">
        <v>995</v>
      </c>
    </row>
    <row r="38" customFormat="false" ht="15" hidden="false" customHeight="false" outlineLevel="0" collapsed="false">
      <c r="A38" s="10" t="n">
        <v>33</v>
      </c>
      <c r="B38" s="10" t="s">
        <v>15</v>
      </c>
      <c r="C38" s="8" t="s">
        <v>852</v>
      </c>
      <c r="D38" s="10" t="str">
        <f aca="false">IF(C38="","",IFERROR(INDEX(NIVEL!$B:$B,MATCH(C38,NIVEL!$A:$A,0)),"¡Código no existe!"))</f>
        <v>Válvula de Compuerta De ø1"</v>
      </c>
      <c r="E38" s="10" t="str">
        <f aca="false">IF(C38="","",IFERROR(INDEX(NIVEL!$C:$C,MATCH(C38,NIVEL!$A:$A,0)),""))</f>
        <v>Un.</v>
      </c>
      <c r="F38" s="10" t="s">
        <v>1022</v>
      </c>
      <c r="G38" s="10" t="n">
        <f aca="false">IFERROR(MATCH(F38,LISTAS!$D$2:$D$22,0),99)</f>
        <v>20</v>
      </c>
      <c r="H38" s="13" t="n">
        <v>1</v>
      </c>
      <c r="I38" s="10" t="s">
        <v>1019</v>
      </c>
      <c r="J38" s="10" t="s">
        <v>1020</v>
      </c>
      <c r="K38" s="10" t="s">
        <v>1021</v>
      </c>
      <c r="L38" s="10"/>
      <c r="M38" s="10" t="str">
        <f aca="false">IF(C38="","SIN ASIGNAR","ASIGNADO")</f>
        <v>ASIGNADO</v>
      </c>
      <c r="N38" s="10" t="s">
        <v>995</v>
      </c>
    </row>
    <row r="39" customFormat="false" ht="15" hidden="false" customHeight="false" outlineLevel="0" collapsed="false">
      <c r="A39" s="10" t="n">
        <v>34</v>
      </c>
      <c r="B39" s="10" t="s">
        <v>17</v>
      </c>
      <c r="C39" s="8" t="s">
        <v>915</v>
      </c>
      <c r="D39" s="10" t="str">
        <f aca="false">IF(C39="","",IFERROR(INDEX(NIVEL!$B:$B,MATCH(C39,NIVEL!$A:$A,0)),"¡Código no existe!"))</f>
        <v>Suministro y Conexión Hidráulica Bomba Contraincendio. Condiciones de operación; Caudal Q=750 GPM, 187 MCA. Incluye tableros, suiches de nivel, tanque de Presión y demás accesorios para el correcto funcionamiento. No incluye cableado. (SE RECOMIENDA QUE LA INSTALACIÓN DEL EQUIPO DE BOMBEO, DESFOGUE Y TANQUE DIESEL SEA REALIZADA POR EL MISMO PROVEEDOR DEL SUMINISTRO).</v>
      </c>
      <c r="E39" s="10" t="str">
        <f aca="false">IF(C39="","",IFERROR(INDEX(NIVEL!$C:$C,MATCH(C39,NIVEL!$A:$A,0)),""))</f>
        <v>Un.</v>
      </c>
      <c r="F39" s="10"/>
      <c r="G39" s="10" t="n">
        <f aca="false">IFERROR(MATCH(F39,LISTAS!$D$2:$D$22,0),99)</f>
        <v>99</v>
      </c>
      <c r="H39" s="13" t="n">
        <v>1</v>
      </c>
      <c r="I39" s="10" t="s">
        <v>1028</v>
      </c>
      <c r="J39" s="10"/>
      <c r="K39" s="10"/>
      <c r="L39" s="10"/>
      <c r="M39" s="10" t="str">
        <f aca="false">IF(C39="","SIN ASIGNAR","ASIGNADO")</f>
        <v>ASIGNADO</v>
      </c>
      <c r="N39" s="10" t="s">
        <v>995</v>
      </c>
    </row>
    <row r="40" customFormat="false" ht="15" hidden="false" customHeight="false" outlineLevel="0" collapsed="false">
      <c r="A40" s="10" t="n">
        <v>35</v>
      </c>
      <c r="B40" s="10" t="s">
        <v>17</v>
      </c>
      <c r="C40" s="8" t="s">
        <v>918</v>
      </c>
      <c r="D40" s="10" t="str">
        <f aca="false">IF(C40="","",IFERROR(INDEX(NIVEL!$B:$B,MATCH(C40,NIVEL!$A:$A,0)),"¡Código no existe!"))</f>
        <v>Suministro y Conexión Hidráulica Bomba Jockey Caudal Q= 7,5 GPM, HT= 142 m, incluye tablero, suiches de nivel, presóstato, manómetro y demás accesorios para el correcto funcionamiento. No incluye cableado. (SE RECOMIENDA QUE LA INSTALACIÓN DEL EQUIPO DE BOMBEO SEA REALIZADA POR EL MISMO PROVEEDOR DEL SUMINISTRO).</v>
      </c>
      <c r="E40" s="10" t="str">
        <f aca="false">IF(C40="","",IFERROR(INDEX(NIVEL!$C:$C,MATCH(C40,NIVEL!$A:$A,0)),""))</f>
        <v>Un.</v>
      </c>
      <c r="F40" s="10"/>
      <c r="G40" s="10" t="n">
        <f aca="false">IFERROR(MATCH(F40,LISTAS!$D$2:$D$22,0),99)</f>
        <v>99</v>
      </c>
      <c r="H40" s="13" t="n">
        <v>1</v>
      </c>
      <c r="I40" s="10" t="s">
        <v>1029</v>
      </c>
      <c r="J40" s="10"/>
      <c r="K40" s="10"/>
      <c r="L40" s="10"/>
      <c r="M40" s="10" t="str">
        <f aca="false">IF(C40="","SIN ASIGNAR","ASIGNADO")</f>
        <v>ASIGNADO</v>
      </c>
      <c r="N40" s="10" t="s">
        <v>995</v>
      </c>
    </row>
    <row r="41" customFormat="false" ht="15" hidden="false" customHeight="false" outlineLevel="0" collapsed="false">
      <c r="A41" s="10" t="n">
        <v>36</v>
      </c>
      <c r="B41" s="10" t="s">
        <v>17</v>
      </c>
      <c r="C41" s="8" t="s">
        <v>920</v>
      </c>
      <c r="D41" s="10" t="str">
        <f aca="false">IF(C41="","",IFERROR(INDEX(NIVEL!$B:$B,MATCH(C41,NIVEL!$A:$A,0)),"¡Código no existe!"))</f>
        <v>Base en concreto para equipo de bombeo</v>
      </c>
      <c r="E41" s="10" t="str">
        <f aca="false">IF(C41="","",IFERROR(INDEX(NIVEL!$C:$C,MATCH(C41,NIVEL!$A:$A,0)),""))</f>
        <v>Un.</v>
      </c>
      <c r="F41" s="10"/>
      <c r="G41" s="10" t="n">
        <f aca="false">IFERROR(MATCH(F41,LISTAS!$D$2:$D$22,0),99)</f>
        <v>99</v>
      </c>
      <c r="H41" s="13" t="n">
        <v>1</v>
      </c>
      <c r="I41" s="10" t="s">
        <v>1030</v>
      </c>
      <c r="J41" s="10"/>
      <c r="K41" s="10"/>
      <c r="L41" s="10"/>
      <c r="M41" s="10" t="str">
        <f aca="false">IF(C41="","SIN ASIGNAR","ASIGNADO")</f>
        <v>ASIGNADO</v>
      </c>
      <c r="N41" s="10" t="s">
        <v>995</v>
      </c>
    </row>
    <row r="42" customFormat="false" ht="15" hidden="false" customHeight="false" outlineLevel="0" collapsed="false">
      <c r="A42" s="10" t="n">
        <v>37</v>
      </c>
      <c r="B42" s="10" t="s">
        <v>19</v>
      </c>
      <c r="C42" s="8" t="s">
        <v>700</v>
      </c>
      <c r="D42" s="10" t="str">
        <f aca="false">IF(C42="","",IFERROR(INDEX(NIVEL!$B:$B,MATCH(C42,NIVEL!$A:$A,0)),"¡Código no existe!"))</f>
        <v>Rociador Sprinkler ø1/2" K=11,2 extendida QR</v>
      </c>
      <c r="E42" s="10" t="str">
        <f aca="false">IF(C42="","",IFERROR(INDEX(NIVEL!$C:$C,MATCH(C42,NIVEL!$A:$A,0)),""))</f>
        <v>Un.</v>
      </c>
      <c r="F42" s="10" t="s">
        <v>1031</v>
      </c>
      <c r="G42" s="10" t="n">
        <f aca="false">IFERROR(MATCH(F42,LISTAS!$D$2:$D$22,0),99)</f>
        <v>2</v>
      </c>
      <c r="H42" s="13" t="n">
        <v>33</v>
      </c>
      <c r="I42" s="10" t="s">
        <v>1032</v>
      </c>
      <c r="J42" s="10"/>
      <c r="K42" s="10"/>
      <c r="L42" s="10" t="s">
        <v>1033</v>
      </c>
      <c r="M42" s="10" t="str">
        <f aca="false">IF(C42="","SIN ASIGNAR","ASIGNADO")</f>
        <v>ASIGNADO</v>
      </c>
      <c r="N42" s="10" t="s">
        <v>991</v>
      </c>
    </row>
    <row r="43" customFormat="false" ht="15" hidden="false" customHeight="false" outlineLevel="0" collapsed="false">
      <c r="A43" s="10" t="n">
        <v>38</v>
      </c>
      <c r="B43" s="10" t="s">
        <v>19</v>
      </c>
      <c r="C43" s="8" t="s">
        <v>700</v>
      </c>
      <c r="D43" s="10" t="str">
        <f aca="false">IF(C43="","",IFERROR(INDEX(NIVEL!$B:$B,MATCH(C43,NIVEL!$A:$A,0)),"¡Código no existe!"))</f>
        <v>Rociador Sprinkler ø1/2" K=11,2 extendida QR</v>
      </c>
      <c r="E43" s="10" t="str">
        <f aca="false">IF(C43="","",IFERROR(INDEX(NIVEL!$C:$C,MATCH(C43,NIVEL!$A:$A,0)),""))</f>
        <v>Un.</v>
      </c>
      <c r="F43" s="10" t="s">
        <v>1011</v>
      </c>
      <c r="G43" s="10" t="n">
        <f aca="false">IFERROR(MATCH(F43,LISTAS!$D$2:$D$22,0),99)</f>
        <v>4</v>
      </c>
      <c r="H43" s="13" t="n">
        <v>46</v>
      </c>
      <c r="I43" s="10" t="s">
        <v>1032</v>
      </c>
      <c r="J43" s="10"/>
      <c r="K43" s="10"/>
      <c r="L43" s="10" t="s">
        <v>1033</v>
      </c>
      <c r="M43" s="10" t="str">
        <f aca="false">IF(C43="","SIN ASIGNAR","ASIGNADO")</f>
        <v>ASIGNADO</v>
      </c>
      <c r="N43" s="10" t="s">
        <v>991</v>
      </c>
    </row>
    <row r="44" customFormat="false" ht="15" hidden="false" customHeight="false" outlineLevel="0" collapsed="false">
      <c r="A44" s="10" t="n">
        <v>39</v>
      </c>
      <c r="B44" s="10" t="s">
        <v>19</v>
      </c>
      <c r="C44" s="8" t="s">
        <v>700</v>
      </c>
      <c r="D44" s="10" t="str">
        <f aca="false">IF(C44="","",IFERROR(INDEX(NIVEL!$B:$B,MATCH(C44,NIVEL!$A:$A,0)),"¡Código no existe!"))</f>
        <v>Rociador Sprinkler ø1/2" K=11,2 extendida QR</v>
      </c>
      <c r="E44" s="10" t="str">
        <f aca="false">IF(C44="","",IFERROR(INDEX(NIVEL!$C:$C,MATCH(C44,NIVEL!$A:$A,0)),""))</f>
        <v>Un.</v>
      </c>
      <c r="F44" s="10" t="s">
        <v>1012</v>
      </c>
      <c r="G44" s="10" t="n">
        <f aca="false">IFERROR(MATCH(F44,LISTAS!$D$2:$D$22,0),99)</f>
        <v>5</v>
      </c>
      <c r="H44" s="13" t="n">
        <v>72</v>
      </c>
      <c r="I44" s="10" t="s">
        <v>1032</v>
      </c>
      <c r="J44" s="10"/>
      <c r="K44" s="10"/>
      <c r="L44" s="10" t="s">
        <v>1033</v>
      </c>
      <c r="M44" s="10" t="str">
        <f aca="false">IF(C44="","SIN ASIGNAR","ASIGNADO")</f>
        <v>ASIGNADO</v>
      </c>
      <c r="N44" s="10" t="s">
        <v>991</v>
      </c>
    </row>
    <row r="45" customFormat="false" ht="15" hidden="false" customHeight="false" outlineLevel="0" collapsed="false">
      <c r="A45" s="10" t="n">
        <v>40</v>
      </c>
      <c r="B45" s="10" t="s">
        <v>19</v>
      </c>
      <c r="C45" s="8" t="s">
        <v>700</v>
      </c>
      <c r="D45" s="10" t="str">
        <f aca="false">IF(C45="","",IFERROR(INDEX(NIVEL!$B:$B,MATCH(C45,NIVEL!$A:$A,0)),"¡Código no existe!"))</f>
        <v>Rociador Sprinkler ø1/2" K=11,2 extendida QR</v>
      </c>
      <c r="E45" s="10" t="str">
        <f aca="false">IF(C45="","",IFERROR(INDEX(NIVEL!$C:$C,MATCH(C45,NIVEL!$A:$A,0)),""))</f>
        <v>Un.</v>
      </c>
      <c r="F45" s="10" t="s">
        <v>1013</v>
      </c>
      <c r="G45" s="10" t="n">
        <f aca="false">IFERROR(MATCH(F45,LISTAS!$D$2:$D$22,0),99)</f>
        <v>6</v>
      </c>
      <c r="H45" s="13" t="n">
        <v>73</v>
      </c>
      <c r="I45" s="10" t="s">
        <v>1032</v>
      </c>
      <c r="J45" s="10"/>
      <c r="K45" s="10"/>
      <c r="L45" s="10" t="s">
        <v>1033</v>
      </c>
      <c r="M45" s="10" t="str">
        <f aca="false">IF(C45="","SIN ASIGNAR","ASIGNADO")</f>
        <v>ASIGNADO</v>
      </c>
      <c r="N45" s="10" t="s">
        <v>991</v>
      </c>
    </row>
    <row r="46" customFormat="false" ht="15" hidden="false" customHeight="false" outlineLevel="0" collapsed="false">
      <c r="A46" s="10" t="n">
        <v>41</v>
      </c>
      <c r="B46" s="10" t="s">
        <v>19</v>
      </c>
      <c r="C46" s="8" t="s">
        <v>698</v>
      </c>
      <c r="D46" s="10" t="str">
        <f aca="false">IF(C46="","",IFERROR(INDEX(NIVEL!$B:$B,MATCH(C46,NIVEL!$A:$A,0)),"¡Código no existe!"))</f>
        <v>Rociador Sprinkler ø1/2" K=5,6 estándar QR</v>
      </c>
      <c r="E46" s="10" t="str">
        <f aca="false">IF(C46="","",IFERROR(INDEX(NIVEL!$C:$C,MATCH(C46,NIVEL!$A:$A,0)),""))</f>
        <v>Un.</v>
      </c>
      <c r="F46" s="10" t="s">
        <v>1014</v>
      </c>
      <c r="G46" s="10" t="n">
        <f aca="false">IFERROR(MATCH(F46,LISTAS!$D$2:$D$22,0),99)</f>
        <v>7</v>
      </c>
      <c r="H46" s="13" t="n">
        <v>94</v>
      </c>
      <c r="I46" s="10" t="s">
        <v>1032</v>
      </c>
      <c r="J46" s="10"/>
      <c r="K46" s="10"/>
      <c r="L46" s="10" t="s">
        <v>1033</v>
      </c>
      <c r="M46" s="10" t="str">
        <f aca="false">IF(C46="","SIN ASIGNAR","ASIGNADO")</f>
        <v>ASIGNADO</v>
      </c>
      <c r="N46" s="10" t="s">
        <v>991</v>
      </c>
    </row>
    <row r="47" customFormat="false" ht="15" hidden="false" customHeight="false" outlineLevel="0" collapsed="false">
      <c r="A47" s="10" t="n">
        <v>42</v>
      </c>
      <c r="B47" s="10" t="s">
        <v>19</v>
      </c>
      <c r="C47" s="8" t="s">
        <v>698</v>
      </c>
      <c r="D47" s="10" t="str">
        <f aca="false">IF(C47="","",IFERROR(INDEX(NIVEL!$B:$B,MATCH(C47,NIVEL!$A:$A,0)),"¡Código no existe!"))</f>
        <v>Rociador Sprinkler ø1/2" K=5,6 estándar QR</v>
      </c>
      <c r="E47" s="10" t="str">
        <f aca="false">IF(C47="","",IFERROR(INDEX(NIVEL!$C:$C,MATCH(C47,NIVEL!$A:$A,0)),""))</f>
        <v>Un.</v>
      </c>
      <c r="F47" s="10" t="s">
        <v>1017</v>
      </c>
      <c r="G47" s="10" t="n">
        <f aca="false">IFERROR(MATCH(F47,LISTAS!$D$2:$D$22,0),99)</f>
        <v>8</v>
      </c>
      <c r="H47" s="13" t="n">
        <v>24</v>
      </c>
      <c r="I47" s="10" t="s">
        <v>1032</v>
      </c>
      <c r="J47" s="10"/>
      <c r="K47" s="10"/>
      <c r="L47" s="10" t="s">
        <v>1033</v>
      </c>
      <c r="M47" s="10" t="str">
        <f aca="false">IF(C47="","SIN ASIGNAR","ASIGNADO")</f>
        <v>ASIGNADO</v>
      </c>
      <c r="N47" s="10" t="s">
        <v>991</v>
      </c>
    </row>
    <row r="48" customFormat="false" ht="15" hidden="false" customHeight="false" outlineLevel="0" collapsed="false">
      <c r="A48" s="10" t="n">
        <v>43</v>
      </c>
      <c r="B48" s="10" t="s">
        <v>20</v>
      </c>
      <c r="C48" s="8" t="s">
        <v>742</v>
      </c>
      <c r="D48" s="10" t="str">
        <f aca="false">IF(C48="","",IFERROR(INDEX(NIVEL!$B:$B,MATCH(C48,NIVEL!$A:$A,0)),"¡Código no existe!"))</f>
        <v>Soporte Antisísmico Longitudinal ø6"</v>
      </c>
      <c r="E48" s="10" t="str">
        <f aca="false">IF(C48="","",IFERROR(INDEX(NIVEL!$C:$C,MATCH(C48,NIVEL!$A:$A,0)),""))</f>
        <v>Un.</v>
      </c>
      <c r="F48" s="10" t="s">
        <v>987</v>
      </c>
      <c r="G48" s="10" t="n">
        <f aca="false">IFERROR(MATCH(F48,LISTAS!$D$2:$D$22,0),99)</f>
        <v>1</v>
      </c>
      <c r="H48" s="13" t="n">
        <v>1</v>
      </c>
      <c r="I48" s="10" t="s">
        <v>1034</v>
      </c>
      <c r="J48" s="10" t="s">
        <v>1035</v>
      </c>
      <c r="K48" s="10" t="s">
        <v>1036</v>
      </c>
      <c r="L48" s="10" t="s">
        <v>1037</v>
      </c>
      <c r="M48" s="10" t="str">
        <f aca="false">IF(C48="","SIN ASIGNAR","ASIGNADO")</f>
        <v>ASIGNADO</v>
      </c>
      <c r="N48" s="10" t="s">
        <v>995</v>
      </c>
    </row>
    <row r="49" customFormat="false" ht="15" hidden="false" customHeight="false" outlineLevel="0" collapsed="false">
      <c r="A49" s="10" t="n">
        <v>44</v>
      </c>
      <c r="B49" s="10" t="s">
        <v>20</v>
      </c>
      <c r="C49" s="8" t="s">
        <v>742</v>
      </c>
      <c r="D49" s="10" t="str">
        <f aca="false">IF(C49="","",IFERROR(INDEX(NIVEL!$B:$B,MATCH(C49,NIVEL!$A:$A,0)),"¡Código no existe!"))</f>
        <v>Soporte Antisísmico Longitudinal ø6"</v>
      </c>
      <c r="E49" s="10" t="str">
        <f aca="false">IF(C49="","",IFERROR(INDEX(NIVEL!$C:$C,MATCH(C49,NIVEL!$A:$A,0)),""))</f>
        <v>Un.</v>
      </c>
      <c r="F49" s="10" t="s">
        <v>987</v>
      </c>
      <c r="G49" s="10" t="n">
        <f aca="false">IFERROR(MATCH(F49,LISTAS!$D$2:$D$22,0),99)</f>
        <v>1</v>
      </c>
      <c r="H49" s="13" t="n">
        <v>5</v>
      </c>
      <c r="I49" s="10" t="s">
        <v>1034</v>
      </c>
      <c r="J49" s="10" t="s">
        <v>1035</v>
      </c>
      <c r="K49" s="10" t="s">
        <v>1036</v>
      </c>
      <c r="L49" s="10" t="s">
        <v>1038</v>
      </c>
      <c r="M49" s="10" t="str">
        <f aca="false">IF(C49="","SIN ASIGNAR","ASIGNADO")</f>
        <v>ASIGNADO</v>
      </c>
      <c r="N49" s="10" t="s">
        <v>995</v>
      </c>
    </row>
    <row r="50" customFormat="false" ht="15" hidden="false" customHeight="false" outlineLevel="0" collapsed="false">
      <c r="A50" s="10" t="n">
        <v>45</v>
      </c>
      <c r="B50" s="10" t="s">
        <v>20</v>
      </c>
      <c r="C50" s="8" t="s">
        <v>744</v>
      </c>
      <c r="D50" s="10" t="str">
        <f aca="false">IF(C50="","",IFERROR(INDEX(NIVEL!$B:$B,MATCH(C50,NIVEL!$A:$A,0)),"¡Código no existe!"))</f>
        <v>Soporte Antisísmico Transversal ø6"</v>
      </c>
      <c r="E50" s="10" t="str">
        <f aca="false">IF(C50="","",IFERROR(INDEX(NIVEL!$C:$C,MATCH(C50,NIVEL!$A:$A,0)),""))</f>
        <v>Un.</v>
      </c>
      <c r="F50" s="10" t="s">
        <v>987</v>
      </c>
      <c r="G50" s="10" t="n">
        <f aca="false">IFERROR(MATCH(F50,LISTAS!$D$2:$D$22,0),99)</f>
        <v>1</v>
      </c>
      <c r="H50" s="13" t="n">
        <v>9</v>
      </c>
      <c r="I50" s="10" t="s">
        <v>1039</v>
      </c>
      <c r="J50" s="10" t="s">
        <v>1040</v>
      </c>
      <c r="K50" s="10" t="s">
        <v>1036</v>
      </c>
      <c r="L50" s="10" t="s">
        <v>1038</v>
      </c>
      <c r="M50" s="10" t="str">
        <f aca="false">IF(C50="","SIN ASIGNAR","ASIGNADO")</f>
        <v>ASIGNADO</v>
      </c>
      <c r="N50" s="10" t="s">
        <v>995</v>
      </c>
    </row>
    <row r="51" customFormat="false" ht="15" hidden="false" customHeight="false" outlineLevel="0" collapsed="false">
      <c r="A51" s="10" t="n">
        <v>46</v>
      </c>
      <c r="B51" s="10" t="s">
        <v>20</v>
      </c>
      <c r="C51" s="8" t="s">
        <v>734</v>
      </c>
      <c r="D51" s="10" t="str">
        <f aca="false">IF(C51="","",IFERROR(INDEX(NIVEL!$B:$B,MATCH(C51,NIVEL!$A:$A,0)),"¡Código no existe!"))</f>
        <v>Soporte Antisísmico Longitudinal ø3"</v>
      </c>
      <c r="E51" s="10" t="str">
        <f aca="false">IF(C51="","",IFERROR(INDEX(NIVEL!$C:$C,MATCH(C51,NIVEL!$A:$A,0)),""))</f>
        <v>Un.</v>
      </c>
      <c r="F51" s="10" t="s">
        <v>1031</v>
      </c>
      <c r="G51" s="10" t="n">
        <f aca="false">IFERROR(MATCH(F51,LISTAS!$D$2:$D$22,0),99)</f>
        <v>2</v>
      </c>
      <c r="H51" s="13" t="n">
        <v>2</v>
      </c>
      <c r="I51" s="10" t="s">
        <v>1034</v>
      </c>
      <c r="J51" s="10" t="s">
        <v>1035</v>
      </c>
      <c r="K51" s="10" t="s">
        <v>1041</v>
      </c>
      <c r="L51" s="10"/>
      <c r="M51" s="10" t="str">
        <f aca="false">IF(C51="","SIN ASIGNAR","ASIGNADO")</f>
        <v>ASIGNADO</v>
      </c>
      <c r="N51" s="10" t="s">
        <v>995</v>
      </c>
    </row>
    <row r="52" customFormat="false" ht="15" hidden="false" customHeight="false" outlineLevel="0" collapsed="false">
      <c r="A52" s="10" t="n">
        <v>47</v>
      </c>
      <c r="B52" s="10" t="s">
        <v>20</v>
      </c>
      <c r="C52" s="8" t="s">
        <v>736</v>
      </c>
      <c r="D52" s="10" t="str">
        <f aca="false">IF(C52="","",IFERROR(INDEX(NIVEL!$B:$B,MATCH(C52,NIVEL!$A:$A,0)),"¡Código no existe!"))</f>
        <v>Soporte Antisísmico Transversal ø3"</v>
      </c>
      <c r="E52" s="10" t="str">
        <f aca="false">IF(C52="","",IFERROR(INDEX(NIVEL!$C:$C,MATCH(C52,NIVEL!$A:$A,0)),""))</f>
        <v>Un.</v>
      </c>
      <c r="F52" s="10" t="s">
        <v>1031</v>
      </c>
      <c r="G52" s="10" t="n">
        <f aca="false">IFERROR(MATCH(F52,LISTAS!$D$2:$D$22,0),99)</f>
        <v>2</v>
      </c>
      <c r="H52" s="13" t="n">
        <v>3</v>
      </c>
      <c r="I52" s="10" t="s">
        <v>1039</v>
      </c>
      <c r="J52" s="10" t="s">
        <v>1040</v>
      </c>
      <c r="K52" s="10" t="s">
        <v>1041</v>
      </c>
      <c r="L52" s="10"/>
      <c r="M52" s="10" t="str">
        <f aca="false">IF(C52="","SIN ASIGNAR","ASIGNADO")</f>
        <v>ASIGNADO</v>
      </c>
      <c r="N52" s="10" t="s">
        <v>995</v>
      </c>
    </row>
    <row r="53" customFormat="false" ht="15" hidden="false" customHeight="false" outlineLevel="0" collapsed="false">
      <c r="A53" s="10" t="n">
        <v>48</v>
      </c>
      <c r="B53" s="10" t="s">
        <v>20</v>
      </c>
      <c r="C53" s="8" t="s">
        <v>719</v>
      </c>
      <c r="D53" s="10" t="str">
        <f aca="false">IF(C53="","",IFERROR(INDEX(NIVEL!$B:$B,MATCH(C53,NIVEL!$A:$A,0)),"¡Código no existe!"))</f>
        <v>Soporte pera 1-1/2"</v>
      </c>
      <c r="E53" s="10" t="str">
        <f aca="false">IF(C53="","",IFERROR(INDEX(NIVEL!$C:$C,MATCH(C53,NIVEL!$A:$A,0)),""))</f>
        <v>Un.</v>
      </c>
      <c r="F53" s="10" t="s">
        <v>1008</v>
      </c>
      <c r="G53" s="10" t="n">
        <f aca="false">IFERROR(MATCH(F53,LISTAS!$D$2:$D$22,0),99)</f>
        <v>3</v>
      </c>
      <c r="H53" s="13" t="n">
        <v>89</v>
      </c>
      <c r="I53" s="10" t="s">
        <v>1042</v>
      </c>
      <c r="J53" s="10" t="s">
        <v>1043</v>
      </c>
      <c r="K53" s="10" t="s">
        <v>1044</v>
      </c>
      <c r="L53" s="10"/>
      <c r="M53" s="10" t="str">
        <f aca="false">IF(C53="","SIN ASIGNAR","ASIGNADO")</f>
        <v>ASIGNADO</v>
      </c>
      <c r="N53" s="10" t="s">
        <v>991</v>
      </c>
    </row>
    <row r="54" customFormat="false" ht="15" hidden="false" customHeight="false" outlineLevel="0" collapsed="false">
      <c r="A54" s="10" t="n">
        <v>49</v>
      </c>
      <c r="B54" s="10" t="s">
        <v>20</v>
      </c>
      <c r="C54" s="8" t="s">
        <v>734</v>
      </c>
      <c r="D54" s="10" t="str">
        <f aca="false">IF(C54="","",IFERROR(INDEX(NIVEL!$B:$B,MATCH(C54,NIVEL!$A:$A,0)),"¡Código no existe!"))</f>
        <v>Soporte Antisísmico Longitudinal ø3"</v>
      </c>
      <c r="E54" s="10" t="str">
        <f aca="false">IF(C54="","",IFERROR(INDEX(NIVEL!$C:$C,MATCH(C54,NIVEL!$A:$A,0)),""))</f>
        <v>Un.</v>
      </c>
      <c r="F54" s="10" t="s">
        <v>1008</v>
      </c>
      <c r="G54" s="10" t="n">
        <f aca="false">IFERROR(MATCH(F54,LISTAS!$D$2:$D$22,0),99)</f>
        <v>3</v>
      </c>
      <c r="H54" s="13" t="n">
        <v>13</v>
      </c>
      <c r="I54" s="10" t="s">
        <v>1034</v>
      </c>
      <c r="J54" s="10" t="s">
        <v>1035</v>
      </c>
      <c r="K54" s="10" t="s">
        <v>1041</v>
      </c>
      <c r="L54" s="10"/>
      <c r="M54" s="10" t="str">
        <f aca="false">IF(C54="","SIN ASIGNAR","ASIGNADO")</f>
        <v>ASIGNADO</v>
      </c>
      <c r="N54" s="10" t="s">
        <v>995</v>
      </c>
    </row>
    <row r="55" customFormat="false" ht="15" hidden="false" customHeight="false" outlineLevel="0" collapsed="false">
      <c r="A55" s="10" t="n">
        <v>50</v>
      </c>
      <c r="B55" s="10" t="s">
        <v>20</v>
      </c>
      <c r="C55" s="8" t="s">
        <v>742</v>
      </c>
      <c r="D55" s="10" t="str">
        <f aca="false">IF(C55="","",IFERROR(INDEX(NIVEL!$B:$B,MATCH(C55,NIVEL!$A:$A,0)),"¡Código no existe!"))</f>
        <v>Soporte Antisísmico Longitudinal ø6"</v>
      </c>
      <c r="E55" s="10" t="str">
        <f aca="false">IF(C55="","",IFERROR(INDEX(NIVEL!$C:$C,MATCH(C55,NIVEL!$A:$A,0)),""))</f>
        <v>Un.</v>
      </c>
      <c r="F55" s="10" t="s">
        <v>1008</v>
      </c>
      <c r="G55" s="10" t="n">
        <f aca="false">IFERROR(MATCH(F55,LISTAS!$D$2:$D$22,0),99)</f>
        <v>3</v>
      </c>
      <c r="H55" s="13" t="n">
        <v>1</v>
      </c>
      <c r="I55" s="10" t="s">
        <v>1034</v>
      </c>
      <c r="J55" s="10" t="s">
        <v>1035</v>
      </c>
      <c r="K55" s="10" t="s">
        <v>1036</v>
      </c>
      <c r="L55" s="10" t="s">
        <v>1037</v>
      </c>
      <c r="M55" s="10" t="str">
        <f aca="false">IF(C55="","SIN ASIGNAR","ASIGNADO")</f>
        <v>ASIGNADO</v>
      </c>
      <c r="N55" s="10" t="s">
        <v>995</v>
      </c>
    </row>
    <row r="56" customFormat="false" ht="15" hidden="false" customHeight="false" outlineLevel="0" collapsed="false">
      <c r="A56" s="10" t="n">
        <v>51</v>
      </c>
      <c r="B56" s="10" t="s">
        <v>20</v>
      </c>
      <c r="C56" s="8" t="s">
        <v>742</v>
      </c>
      <c r="D56" s="10" t="str">
        <f aca="false">IF(C56="","",IFERROR(INDEX(NIVEL!$B:$B,MATCH(C56,NIVEL!$A:$A,0)),"¡Código no existe!"))</f>
        <v>Soporte Antisísmico Longitudinal ø6"</v>
      </c>
      <c r="E56" s="10" t="str">
        <f aca="false">IF(C56="","",IFERROR(INDEX(NIVEL!$C:$C,MATCH(C56,NIVEL!$A:$A,0)),""))</f>
        <v>Un.</v>
      </c>
      <c r="F56" s="10" t="s">
        <v>1008</v>
      </c>
      <c r="G56" s="10" t="n">
        <f aca="false">IFERROR(MATCH(F56,LISTAS!$D$2:$D$22,0),99)</f>
        <v>3</v>
      </c>
      <c r="H56" s="13" t="n">
        <v>2</v>
      </c>
      <c r="I56" s="10" t="s">
        <v>1034</v>
      </c>
      <c r="J56" s="10" t="s">
        <v>1035</v>
      </c>
      <c r="K56" s="10" t="s">
        <v>1045</v>
      </c>
      <c r="L56" s="10" t="s">
        <v>1038</v>
      </c>
      <c r="M56" s="10" t="str">
        <f aca="false">IF(C56="","SIN ASIGNAR","ASIGNADO")</f>
        <v>ASIGNADO</v>
      </c>
      <c r="N56" s="10" t="s">
        <v>991</v>
      </c>
    </row>
    <row r="57" customFormat="false" ht="15" hidden="false" customHeight="false" outlineLevel="0" collapsed="false">
      <c r="A57" s="10" t="n">
        <v>52</v>
      </c>
      <c r="B57" s="10" t="s">
        <v>20</v>
      </c>
      <c r="C57" s="8" t="s">
        <v>736</v>
      </c>
      <c r="D57" s="10" t="str">
        <f aca="false">IF(C57="","",IFERROR(INDEX(NIVEL!$B:$B,MATCH(C57,NIVEL!$A:$A,0)),"¡Código no existe!"))</f>
        <v>Soporte Antisísmico Transversal ø3"</v>
      </c>
      <c r="E57" s="10" t="str">
        <f aca="false">IF(C57="","",IFERROR(INDEX(NIVEL!$C:$C,MATCH(C57,NIVEL!$A:$A,0)),""))</f>
        <v>Un.</v>
      </c>
      <c r="F57" s="10" t="s">
        <v>1008</v>
      </c>
      <c r="G57" s="10" t="n">
        <f aca="false">IFERROR(MATCH(F57,LISTAS!$D$2:$D$22,0),99)</f>
        <v>3</v>
      </c>
      <c r="H57" s="13" t="n">
        <v>38</v>
      </c>
      <c r="I57" s="10" t="s">
        <v>1039</v>
      </c>
      <c r="J57" s="10" t="s">
        <v>1040</v>
      </c>
      <c r="K57" s="10" t="s">
        <v>1041</v>
      </c>
      <c r="L57" s="10"/>
      <c r="M57" s="10" t="str">
        <f aca="false">IF(C57="","SIN ASIGNAR","ASIGNADO")</f>
        <v>ASIGNADO</v>
      </c>
      <c r="N57" s="10" t="s">
        <v>995</v>
      </c>
    </row>
    <row r="58" customFormat="false" ht="15" hidden="false" customHeight="false" outlineLevel="0" collapsed="false">
      <c r="A58" s="10" t="n">
        <v>53</v>
      </c>
      <c r="B58" s="10" t="s">
        <v>20</v>
      </c>
      <c r="C58" s="8" t="s">
        <v>719</v>
      </c>
      <c r="D58" s="10" t="str">
        <f aca="false">IF(C58="","",IFERROR(INDEX(NIVEL!$B:$B,MATCH(C58,NIVEL!$A:$A,0)),"¡Código no existe!"))</f>
        <v>Soporte pera 1-1/2"</v>
      </c>
      <c r="E58" s="10" t="str">
        <f aca="false">IF(C58="","",IFERROR(INDEX(NIVEL!$C:$C,MATCH(C58,NIVEL!$A:$A,0)),""))</f>
        <v>Un.</v>
      </c>
      <c r="F58" s="10" t="s">
        <v>1011</v>
      </c>
      <c r="G58" s="10" t="n">
        <f aca="false">IFERROR(MATCH(F58,LISTAS!$D$2:$D$22,0),99)</f>
        <v>4</v>
      </c>
      <c r="H58" s="13" t="n">
        <v>127</v>
      </c>
      <c r="I58" s="10" t="s">
        <v>1042</v>
      </c>
      <c r="J58" s="10" t="s">
        <v>1043</v>
      </c>
      <c r="K58" s="10" t="s">
        <v>1044</v>
      </c>
      <c r="L58" s="10"/>
      <c r="M58" s="10" t="str">
        <f aca="false">IF(C58="","SIN ASIGNAR","ASIGNADO")</f>
        <v>ASIGNADO</v>
      </c>
      <c r="N58" s="10" t="s">
        <v>991</v>
      </c>
    </row>
    <row r="59" customFormat="false" ht="15" hidden="false" customHeight="false" outlineLevel="0" collapsed="false">
      <c r="A59" s="10" t="n">
        <v>54</v>
      </c>
      <c r="B59" s="10" t="s">
        <v>20</v>
      </c>
      <c r="C59" s="8" t="s">
        <v>734</v>
      </c>
      <c r="D59" s="10" t="str">
        <f aca="false">IF(C59="","",IFERROR(INDEX(NIVEL!$B:$B,MATCH(C59,NIVEL!$A:$A,0)),"¡Código no existe!"))</f>
        <v>Soporte Antisísmico Longitudinal ø3"</v>
      </c>
      <c r="E59" s="10" t="str">
        <f aca="false">IF(C59="","",IFERROR(INDEX(NIVEL!$C:$C,MATCH(C59,NIVEL!$A:$A,0)),""))</f>
        <v>Un.</v>
      </c>
      <c r="F59" s="10" t="s">
        <v>1011</v>
      </c>
      <c r="G59" s="10" t="n">
        <f aca="false">IFERROR(MATCH(F59,LISTAS!$D$2:$D$22,0),99)</f>
        <v>4</v>
      </c>
      <c r="H59" s="13" t="n">
        <v>11</v>
      </c>
      <c r="I59" s="10" t="s">
        <v>1034</v>
      </c>
      <c r="J59" s="10" t="s">
        <v>1035</v>
      </c>
      <c r="K59" s="10" t="s">
        <v>1041</v>
      </c>
      <c r="L59" s="10"/>
      <c r="M59" s="10" t="str">
        <f aca="false">IF(C59="","SIN ASIGNAR","ASIGNADO")</f>
        <v>ASIGNADO</v>
      </c>
      <c r="N59" s="10" t="s">
        <v>995</v>
      </c>
    </row>
    <row r="60" customFormat="false" ht="15" hidden="false" customHeight="false" outlineLevel="0" collapsed="false">
      <c r="A60" s="10" t="n">
        <v>55</v>
      </c>
      <c r="B60" s="10" t="s">
        <v>20</v>
      </c>
      <c r="C60" s="8" t="s">
        <v>742</v>
      </c>
      <c r="D60" s="10" t="str">
        <f aca="false">IF(C60="","",IFERROR(INDEX(NIVEL!$B:$B,MATCH(C60,NIVEL!$A:$A,0)),"¡Código no existe!"))</f>
        <v>Soporte Antisísmico Longitudinal ø6"</v>
      </c>
      <c r="E60" s="10" t="str">
        <f aca="false">IF(C60="","",IFERROR(INDEX(NIVEL!$C:$C,MATCH(C60,NIVEL!$A:$A,0)),""))</f>
        <v>Un.</v>
      </c>
      <c r="F60" s="10" t="s">
        <v>1011</v>
      </c>
      <c r="G60" s="10" t="n">
        <f aca="false">IFERROR(MATCH(F60,LISTAS!$D$2:$D$22,0),99)</f>
        <v>4</v>
      </c>
      <c r="H60" s="13" t="n">
        <v>2</v>
      </c>
      <c r="I60" s="10" t="s">
        <v>1034</v>
      </c>
      <c r="J60" s="10" t="s">
        <v>1035</v>
      </c>
      <c r="K60" s="10" t="s">
        <v>1036</v>
      </c>
      <c r="L60" s="10" t="s">
        <v>1038</v>
      </c>
      <c r="M60" s="10" t="str">
        <f aca="false">IF(C60="","SIN ASIGNAR","ASIGNADO")</f>
        <v>ASIGNADO</v>
      </c>
      <c r="N60" s="10" t="s">
        <v>995</v>
      </c>
    </row>
    <row r="61" customFormat="false" ht="15" hidden="false" customHeight="false" outlineLevel="0" collapsed="false">
      <c r="A61" s="10" t="n">
        <v>56</v>
      </c>
      <c r="B61" s="10" t="s">
        <v>20</v>
      </c>
      <c r="C61" s="8" t="s">
        <v>736</v>
      </c>
      <c r="D61" s="10" t="str">
        <f aca="false">IF(C61="","",IFERROR(INDEX(NIVEL!$B:$B,MATCH(C61,NIVEL!$A:$A,0)),"¡Código no existe!"))</f>
        <v>Soporte Antisísmico Transversal ø3"</v>
      </c>
      <c r="E61" s="10" t="str">
        <f aca="false">IF(C61="","",IFERROR(INDEX(NIVEL!$C:$C,MATCH(C61,NIVEL!$A:$A,0)),""))</f>
        <v>Un.</v>
      </c>
      <c r="F61" s="10" t="s">
        <v>1011</v>
      </c>
      <c r="G61" s="10" t="n">
        <f aca="false">IFERROR(MATCH(F61,LISTAS!$D$2:$D$22,0),99)</f>
        <v>4</v>
      </c>
      <c r="H61" s="13" t="n">
        <v>35</v>
      </c>
      <c r="I61" s="10" t="s">
        <v>1039</v>
      </c>
      <c r="J61" s="10" t="s">
        <v>1040</v>
      </c>
      <c r="K61" s="10" t="s">
        <v>1041</v>
      </c>
      <c r="L61" s="10"/>
      <c r="M61" s="10" t="str">
        <f aca="false">IF(C61="","SIN ASIGNAR","ASIGNADO")</f>
        <v>ASIGNADO</v>
      </c>
      <c r="N61" s="10" t="s">
        <v>995</v>
      </c>
    </row>
    <row r="62" customFormat="false" ht="15" hidden="false" customHeight="false" outlineLevel="0" collapsed="false">
      <c r="A62" s="10" t="n">
        <v>57</v>
      </c>
      <c r="B62" s="10" t="s">
        <v>20</v>
      </c>
      <c r="C62" s="8" t="s">
        <v>744</v>
      </c>
      <c r="D62" s="10" t="str">
        <f aca="false">IF(C62="","",IFERROR(INDEX(NIVEL!$B:$B,MATCH(C62,NIVEL!$A:$A,0)),"¡Código no existe!"))</f>
        <v>Soporte Antisísmico Transversal ø6"</v>
      </c>
      <c r="E62" s="10" t="str">
        <f aca="false">IF(C62="","",IFERROR(INDEX(NIVEL!$C:$C,MATCH(C62,NIVEL!$A:$A,0)),""))</f>
        <v>Un.</v>
      </c>
      <c r="F62" s="10" t="s">
        <v>1011</v>
      </c>
      <c r="G62" s="10" t="n">
        <f aca="false">IFERROR(MATCH(F62,LISTAS!$D$2:$D$22,0),99)</f>
        <v>4</v>
      </c>
      <c r="H62" s="13" t="n">
        <v>2</v>
      </c>
      <c r="I62" s="10" t="s">
        <v>1039</v>
      </c>
      <c r="J62" s="10" t="s">
        <v>1040</v>
      </c>
      <c r="K62" s="10" t="s">
        <v>1036</v>
      </c>
      <c r="L62" s="10" t="s">
        <v>1038</v>
      </c>
      <c r="M62" s="10" t="str">
        <f aca="false">IF(C62="","SIN ASIGNAR","ASIGNADO")</f>
        <v>ASIGNADO</v>
      </c>
      <c r="N62" s="10" t="s">
        <v>995</v>
      </c>
    </row>
    <row r="63" customFormat="false" ht="15" hidden="false" customHeight="false" outlineLevel="0" collapsed="false">
      <c r="A63" s="10" t="n">
        <v>58</v>
      </c>
      <c r="B63" s="10" t="s">
        <v>20</v>
      </c>
      <c r="C63" s="8" t="s">
        <v>719</v>
      </c>
      <c r="D63" s="10" t="str">
        <f aca="false">IF(C63="","",IFERROR(INDEX(NIVEL!$B:$B,MATCH(C63,NIVEL!$A:$A,0)),"¡Código no existe!"))</f>
        <v>Soporte pera 1-1/2"</v>
      </c>
      <c r="E63" s="10" t="str">
        <f aca="false">IF(C63="","",IFERROR(INDEX(NIVEL!$C:$C,MATCH(C63,NIVEL!$A:$A,0)),""))</f>
        <v>Un.</v>
      </c>
      <c r="F63" s="10" t="s">
        <v>1012</v>
      </c>
      <c r="G63" s="10" t="n">
        <f aca="false">IFERROR(MATCH(F63,LISTAS!$D$2:$D$22,0),99)</f>
        <v>5</v>
      </c>
      <c r="H63" s="13" t="n">
        <v>120</v>
      </c>
      <c r="I63" s="10" t="s">
        <v>1042</v>
      </c>
      <c r="J63" s="10" t="s">
        <v>1043</v>
      </c>
      <c r="K63" s="10" t="s">
        <v>1044</v>
      </c>
      <c r="L63" s="10"/>
      <c r="M63" s="10" t="str">
        <f aca="false">IF(C63="","SIN ASIGNAR","ASIGNADO")</f>
        <v>ASIGNADO</v>
      </c>
      <c r="N63" s="10" t="s">
        <v>991</v>
      </c>
    </row>
    <row r="64" customFormat="false" ht="15" hidden="false" customHeight="false" outlineLevel="0" collapsed="false">
      <c r="A64" s="10" t="n">
        <v>59</v>
      </c>
      <c r="B64" s="10" t="s">
        <v>20</v>
      </c>
      <c r="C64" s="8" t="s">
        <v>734</v>
      </c>
      <c r="D64" s="10" t="str">
        <f aca="false">IF(C64="","",IFERROR(INDEX(NIVEL!$B:$B,MATCH(C64,NIVEL!$A:$A,0)),"¡Código no existe!"))</f>
        <v>Soporte Antisísmico Longitudinal ø3"</v>
      </c>
      <c r="E64" s="10" t="str">
        <f aca="false">IF(C64="","",IFERROR(INDEX(NIVEL!$C:$C,MATCH(C64,NIVEL!$A:$A,0)),""))</f>
        <v>Un.</v>
      </c>
      <c r="F64" s="10" t="s">
        <v>1012</v>
      </c>
      <c r="G64" s="10" t="n">
        <f aca="false">IFERROR(MATCH(F64,LISTAS!$D$2:$D$22,0),99)</f>
        <v>5</v>
      </c>
      <c r="H64" s="13" t="n">
        <v>14</v>
      </c>
      <c r="I64" s="10" t="s">
        <v>1034</v>
      </c>
      <c r="J64" s="10" t="s">
        <v>1035</v>
      </c>
      <c r="K64" s="10" t="s">
        <v>1041</v>
      </c>
      <c r="L64" s="10"/>
      <c r="M64" s="10" t="str">
        <f aca="false">IF(C64="","SIN ASIGNAR","ASIGNADO")</f>
        <v>ASIGNADO</v>
      </c>
      <c r="N64" s="10" t="s">
        <v>995</v>
      </c>
    </row>
    <row r="65" customFormat="false" ht="15" hidden="false" customHeight="false" outlineLevel="0" collapsed="false">
      <c r="A65" s="10" t="n">
        <v>60</v>
      </c>
      <c r="B65" s="10" t="s">
        <v>20</v>
      </c>
      <c r="C65" s="8" t="s">
        <v>736</v>
      </c>
      <c r="D65" s="10" t="str">
        <f aca="false">IF(C65="","",IFERROR(INDEX(NIVEL!$B:$B,MATCH(C65,NIVEL!$A:$A,0)),"¡Código no existe!"))</f>
        <v>Soporte Antisísmico Transversal ø3"</v>
      </c>
      <c r="E65" s="10" t="str">
        <f aca="false">IF(C65="","",IFERROR(INDEX(NIVEL!$C:$C,MATCH(C65,NIVEL!$A:$A,0)),""))</f>
        <v>Un.</v>
      </c>
      <c r="F65" s="10" t="s">
        <v>1012</v>
      </c>
      <c r="G65" s="10" t="n">
        <f aca="false">IFERROR(MATCH(F65,LISTAS!$D$2:$D$22,0),99)</f>
        <v>5</v>
      </c>
      <c r="H65" s="13" t="n">
        <v>31</v>
      </c>
      <c r="I65" s="10" t="s">
        <v>1039</v>
      </c>
      <c r="J65" s="10" t="s">
        <v>1040</v>
      </c>
      <c r="K65" s="10" t="s">
        <v>1041</v>
      </c>
      <c r="L65" s="10"/>
      <c r="M65" s="10" t="str">
        <f aca="false">IF(C65="","SIN ASIGNAR","ASIGNADO")</f>
        <v>ASIGNADO</v>
      </c>
      <c r="N65" s="10" t="s">
        <v>995</v>
      </c>
    </row>
    <row r="66" customFormat="false" ht="15" hidden="false" customHeight="false" outlineLevel="0" collapsed="false">
      <c r="A66" s="10" t="n">
        <v>61</v>
      </c>
      <c r="B66" s="10" t="s">
        <v>20</v>
      </c>
      <c r="C66" s="8" t="s">
        <v>719</v>
      </c>
      <c r="D66" s="10" t="str">
        <f aca="false">IF(C66="","",IFERROR(INDEX(NIVEL!$B:$B,MATCH(C66,NIVEL!$A:$A,0)),"¡Código no existe!"))</f>
        <v>Soporte pera 1-1/2"</v>
      </c>
      <c r="E66" s="10" t="str">
        <f aca="false">IF(C66="","",IFERROR(INDEX(NIVEL!$C:$C,MATCH(C66,NIVEL!$A:$A,0)),""))</f>
        <v>Un.</v>
      </c>
      <c r="F66" s="10" t="s">
        <v>1013</v>
      </c>
      <c r="G66" s="10" t="n">
        <f aca="false">IFERROR(MATCH(F66,LISTAS!$D$2:$D$22,0),99)</f>
        <v>6</v>
      </c>
      <c r="H66" s="13" t="n">
        <v>90</v>
      </c>
      <c r="I66" s="10" t="s">
        <v>1042</v>
      </c>
      <c r="J66" s="10" t="s">
        <v>1043</v>
      </c>
      <c r="K66" s="10" t="s">
        <v>1044</v>
      </c>
      <c r="L66" s="10"/>
      <c r="M66" s="10" t="str">
        <f aca="false">IF(C66="","SIN ASIGNAR","ASIGNADO")</f>
        <v>ASIGNADO</v>
      </c>
      <c r="N66" s="10" t="s">
        <v>991</v>
      </c>
    </row>
    <row r="67" customFormat="false" ht="15" hidden="false" customHeight="false" outlineLevel="0" collapsed="false">
      <c r="A67" s="10" t="n">
        <v>62</v>
      </c>
      <c r="B67" s="10" t="s">
        <v>20</v>
      </c>
      <c r="C67" s="8" t="s">
        <v>734</v>
      </c>
      <c r="D67" s="10" t="str">
        <f aca="false">IF(C67="","",IFERROR(INDEX(NIVEL!$B:$B,MATCH(C67,NIVEL!$A:$A,0)),"¡Código no existe!"))</f>
        <v>Soporte Antisísmico Longitudinal ø3"</v>
      </c>
      <c r="E67" s="10" t="str">
        <f aca="false">IF(C67="","",IFERROR(INDEX(NIVEL!$C:$C,MATCH(C67,NIVEL!$A:$A,0)),""))</f>
        <v>Un.</v>
      </c>
      <c r="F67" s="10" t="s">
        <v>1013</v>
      </c>
      <c r="G67" s="10" t="n">
        <f aca="false">IFERROR(MATCH(F67,LISTAS!$D$2:$D$22,0),99)</f>
        <v>6</v>
      </c>
      <c r="H67" s="13" t="n">
        <v>15</v>
      </c>
      <c r="I67" s="10" t="s">
        <v>1034</v>
      </c>
      <c r="J67" s="10" t="s">
        <v>1035</v>
      </c>
      <c r="K67" s="10" t="s">
        <v>1041</v>
      </c>
      <c r="L67" s="10"/>
      <c r="M67" s="10" t="str">
        <f aca="false">IF(C67="","SIN ASIGNAR","ASIGNADO")</f>
        <v>ASIGNADO</v>
      </c>
      <c r="N67" s="10" t="s">
        <v>995</v>
      </c>
    </row>
    <row r="68" customFormat="false" ht="15" hidden="false" customHeight="false" outlineLevel="0" collapsed="false">
      <c r="A68" s="10" t="n">
        <v>63</v>
      </c>
      <c r="B68" s="10" t="s">
        <v>20</v>
      </c>
      <c r="C68" s="8" t="s">
        <v>742</v>
      </c>
      <c r="D68" s="10" t="str">
        <f aca="false">IF(C68="","",IFERROR(INDEX(NIVEL!$B:$B,MATCH(C68,NIVEL!$A:$A,0)),"¡Código no existe!"))</f>
        <v>Soporte Antisísmico Longitudinal ø6"</v>
      </c>
      <c r="E68" s="10" t="str">
        <f aca="false">IF(C68="","",IFERROR(INDEX(NIVEL!$C:$C,MATCH(C68,NIVEL!$A:$A,0)),""))</f>
        <v>Un.</v>
      </c>
      <c r="F68" s="10" t="s">
        <v>1013</v>
      </c>
      <c r="G68" s="10" t="n">
        <f aca="false">IFERROR(MATCH(F68,LISTAS!$D$2:$D$22,0),99)</f>
        <v>6</v>
      </c>
      <c r="H68" s="13" t="n">
        <v>1</v>
      </c>
      <c r="I68" s="10" t="s">
        <v>1034</v>
      </c>
      <c r="J68" s="10" t="s">
        <v>1035</v>
      </c>
      <c r="K68" s="10" t="s">
        <v>1045</v>
      </c>
      <c r="L68" s="10" t="s">
        <v>1037</v>
      </c>
      <c r="M68" s="10" t="str">
        <f aca="false">IF(C68="","SIN ASIGNAR","ASIGNADO")</f>
        <v>ASIGNADO</v>
      </c>
      <c r="N68" s="10" t="s">
        <v>991</v>
      </c>
    </row>
    <row r="69" customFormat="false" ht="15" hidden="false" customHeight="false" outlineLevel="0" collapsed="false">
      <c r="A69" s="10" t="n">
        <v>64</v>
      </c>
      <c r="B69" s="10" t="s">
        <v>20</v>
      </c>
      <c r="C69" s="8" t="s">
        <v>736</v>
      </c>
      <c r="D69" s="10" t="str">
        <f aca="false">IF(C69="","",IFERROR(INDEX(NIVEL!$B:$B,MATCH(C69,NIVEL!$A:$A,0)),"¡Código no existe!"))</f>
        <v>Soporte Antisísmico Transversal ø3"</v>
      </c>
      <c r="E69" s="10" t="str">
        <f aca="false">IF(C69="","",IFERROR(INDEX(NIVEL!$C:$C,MATCH(C69,NIVEL!$A:$A,0)),""))</f>
        <v>Un.</v>
      </c>
      <c r="F69" s="10" t="s">
        <v>1013</v>
      </c>
      <c r="G69" s="10" t="n">
        <f aca="false">IFERROR(MATCH(F69,LISTAS!$D$2:$D$22,0),99)</f>
        <v>6</v>
      </c>
      <c r="H69" s="13" t="n">
        <v>38</v>
      </c>
      <c r="I69" s="10" t="s">
        <v>1039</v>
      </c>
      <c r="J69" s="10" t="s">
        <v>1040</v>
      </c>
      <c r="K69" s="10" t="s">
        <v>1041</v>
      </c>
      <c r="L69" s="10"/>
      <c r="M69" s="10" t="str">
        <f aca="false">IF(C69="","SIN ASIGNAR","ASIGNADO")</f>
        <v>ASIGNADO</v>
      </c>
      <c r="N69" s="10" t="s">
        <v>995</v>
      </c>
    </row>
    <row r="70" customFormat="false" ht="15" hidden="false" customHeight="false" outlineLevel="0" collapsed="false">
      <c r="A70" s="10" t="n">
        <v>65</v>
      </c>
      <c r="B70" s="10" t="s">
        <v>20</v>
      </c>
      <c r="C70" s="8" t="s">
        <v>744</v>
      </c>
      <c r="D70" s="10" t="str">
        <f aca="false">IF(C70="","",IFERROR(INDEX(NIVEL!$B:$B,MATCH(C70,NIVEL!$A:$A,0)),"¡Código no existe!"))</f>
        <v>Soporte Antisísmico Transversal ø6"</v>
      </c>
      <c r="E70" s="10" t="str">
        <f aca="false">IF(C70="","",IFERROR(INDEX(NIVEL!$C:$C,MATCH(C70,NIVEL!$A:$A,0)),""))</f>
        <v>Un.</v>
      </c>
      <c r="F70" s="10" t="s">
        <v>1013</v>
      </c>
      <c r="G70" s="10" t="n">
        <f aca="false">IFERROR(MATCH(F70,LISTAS!$D$2:$D$22,0),99)</f>
        <v>6</v>
      </c>
      <c r="H70" s="13" t="n">
        <v>2</v>
      </c>
      <c r="I70" s="10" t="s">
        <v>1039</v>
      </c>
      <c r="J70" s="10" t="s">
        <v>1040</v>
      </c>
      <c r="K70" s="10" t="s">
        <v>1045</v>
      </c>
      <c r="L70" s="10" t="s">
        <v>1037</v>
      </c>
      <c r="M70" s="10" t="str">
        <f aca="false">IF(C70="","SIN ASIGNAR","ASIGNADO")</f>
        <v>ASIGNADO</v>
      </c>
      <c r="N70" s="10" t="s">
        <v>991</v>
      </c>
    </row>
    <row r="71" customFormat="false" ht="15" hidden="false" customHeight="false" outlineLevel="0" collapsed="false">
      <c r="A71" s="10" t="n">
        <v>66</v>
      </c>
      <c r="B71" s="10" t="s">
        <v>20</v>
      </c>
      <c r="C71" s="8" t="s">
        <v>720</v>
      </c>
      <c r="D71" s="10" t="str">
        <f aca="false">IF(C71="","",IFERROR(INDEX(NIVEL!$B:$B,MATCH(C71,NIVEL!$A:$A,0)),"¡Código no existe!"))</f>
        <v>Soporte pera 2"</v>
      </c>
      <c r="E71" s="10" t="str">
        <f aca="false">IF(C71="","",IFERROR(INDEX(NIVEL!$C:$C,MATCH(C71,NIVEL!$A:$A,0)),""))</f>
        <v>Un.</v>
      </c>
      <c r="F71" s="10" t="s">
        <v>1014</v>
      </c>
      <c r="G71" s="10" t="n">
        <f aca="false">IFERROR(MATCH(F71,LISTAS!$D$2:$D$22,0),99)</f>
        <v>7</v>
      </c>
      <c r="H71" s="13" t="n">
        <v>52</v>
      </c>
      <c r="I71" s="10" t="s">
        <v>1042</v>
      </c>
      <c r="J71" s="10" t="s">
        <v>1043</v>
      </c>
      <c r="K71" s="10" t="s">
        <v>1046</v>
      </c>
      <c r="L71" s="10"/>
      <c r="M71" s="10" t="str">
        <f aca="false">IF(C71="","SIN ASIGNAR","ASIGNADO")</f>
        <v>ASIGNADO</v>
      </c>
      <c r="N71" s="10" t="s">
        <v>995</v>
      </c>
    </row>
    <row r="72" customFormat="false" ht="15" hidden="false" customHeight="false" outlineLevel="0" collapsed="false">
      <c r="A72" s="10" t="n">
        <v>67</v>
      </c>
      <c r="B72" s="10" t="s">
        <v>20</v>
      </c>
      <c r="C72" s="8" t="s">
        <v>721</v>
      </c>
      <c r="D72" s="10" t="str">
        <f aca="false">IF(C72="","",IFERROR(INDEX(NIVEL!$B:$B,MATCH(C72,NIVEL!$A:$A,0)),"¡Código no existe!"))</f>
        <v>Soporte pera 2-1/2"</v>
      </c>
      <c r="E72" s="10" t="str">
        <f aca="false">IF(C72="","",IFERROR(INDEX(NIVEL!$C:$C,MATCH(C72,NIVEL!$A:$A,0)),""))</f>
        <v>Un.</v>
      </c>
      <c r="F72" s="10" t="s">
        <v>1014</v>
      </c>
      <c r="G72" s="10" t="n">
        <f aca="false">IFERROR(MATCH(F72,LISTAS!$D$2:$D$22,0),99)</f>
        <v>7</v>
      </c>
      <c r="H72" s="13" t="n">
        <v>2</v>
      </c>
      <c r="I72" s="10" t="s">
        <v>1042</v>
      </c>
      <c r="J72" s="10" t="s">
        <v>1043</v>
      </c>
      <c r="K72" s="10" t="s">
        <v>1047</v>
      </c>
      <c r="L72" s="10"/>
      <c r="M72" s="10" t="str">
        <f aca="false">IF(C72="","SIN ASIGNAR","ASIGNADO")</f>
        <v>ASIGNADO</v>
      </c>
      <c r="N72" s="10" t="s">
        <v>991</v>
      </c>
    </row>
    <row r="73" customFormat="false" ht="15" hidden="false" customHeight="false" outlineLevel="0" collapsed="false">
      <c r="A73" s="10" t="n">
        <v>68</v>
      </c>
      <c r="B73" s="10" t="s">
        <v>20</v>
      </c>
      <c r="C73" s="8" t="s">
        <v>720</v>
      </c>
      <c r="D73" s="10" t="str">
        <f aca="false">IF(C73="","",IFERROR(INDEX(NIVEL!$B:$B,MATCH(C73,NIVEL!$A:$A,0)),"¡Código no existe!"))</f>
        <v>Soporte pera 2"</v>
      </c>
      <c r="E73" s="10" t="str">
        <f aca="false">IF(C73="","",IFERROR(INDEX(NIVEL!$C:$C,MATCH(C73,NIVEL!$A:$A,0)),""))</f>
        <v>Un.</v>
      </c>
      <c r="F73" s="10" t="s">
        <v>1014</v>
      </c>
      <c r="G73" s="10" t="n">
        <f aca="false">IFERROR(MATCH(F73,LISTAS!$D$2:$D$22,0),99)</f>
        <v>7</v>
      </c>
      <c r="H73" s="13" t="n">
        <v>1</v>
      </c>
      <c r="I73" s="10" t="s">
        <v>1042</v>
      </c>
      <c r="J73" s="10" t="s">
        <v>1043</v>
      </c>
      <c r="K73" s="10" t="s">
        <v>1046</v>
      </c>
      <c r="L73" s="10"/>
      <c r="M73" s="10" t="str">
        <f aca="false">IF(C73="","SIN ASIGNAR","ASIGNADO")</f>
        <v>ASIGNADO</v>
      </c>
      <c r="N73" s="10" t="s">
        <v>995</v>
      </c>
    </row>
    <row r="74" customFormat="false" ht="15" hidden="false" customHeight="false" outlineLevel="0" collapsed="false">
      <c r="A74" s="10" t="n">
        <v>69</v>
      </c>
      <c r="B74" s="10" t="s">
        <v>20</v>
      </c>
      <c r="C74" s="8" t="s">
        <v>734</v>
      </c>
      <c r="D74" s="10" t="str">
        <f aca="false">IF(C74="","",IFERROR(INDEX(NIVEL!$B:$B,MATCH(C74,NIVEL!$A:$A,0)),"¡Código no existe!"))</f>
        <v>Soporte Antisísmico Longitudinal ø3"</v>
      </c>
      <c r="E74" s="10" t="str">
        <f aca="false">IF(C74="","",IFERROR(INDEX(NIVEL!$C:$C,MATCH(C74,NIVEL!$A:$A,0)),""))</f>
        <v>Un.</v>
      </c>
      <c r="F74" s="10" t="s">
        <v>1014</v>
      </c>
      <c r="G74" s="10" t="n">
        <f aca="false">IFERROR(MATCH(F74,LISTAS!$D$2:$D$22,0),99)</f>
        <v>7</v>
      </c>
      <c r="H74" s="13" t="n">
        <v>3</v>
      </c>
      <c r="I74" s="10" t="s">
        <v>1034</v>
      </c>
      <c r="J74" s="10" t="s">
        <v>1035</v>
      </c>
      <c r="K74" s="10" t="s">
        <v>1041</v>
      </c>
      <c r="L74" s="10"/>
      <c r="M74" s="10" t="str">
        <f aca="false">IF(C74="","SIN ASIGNAR","ASIGNADO")</f>
        <v>ASIGNADO</v>
      </c>
      <c r="N74" s="10" t="s">
        <v>995</v>
      </c>
    </row>
    <row r="75" customFormat="false" ht="15" hidden="false" customHeight="false" outlineLevel="0" collapsed="false">
      <c r="A75" s="10" t="n">
        <v>70</v>
      </c>
      <c r="B75" s="10" t="s">
        <v>20</v>
      </c>
      <c r="C75" s="8" t="s">
        <v>738</v>
      </c>
      <c r="D75" s="10" t="str">
        <f aca="false">IF(C75="","",IFERROR(INDEX(NIVEL!$B:$B,MATCH(C75,NIVEL!$A:$A,0)),"¡Código no existe!"))</f>
        <v>Soporte Antisísmico Longitudinal ø4"</v>
      </c>
      <c r="E75" s="10" t="str">
        <f aca="false">IF(C75="","",IFERROR(INDEX(NIVEL!$C:$C,MATCH(C75,NIVEL!$A:$A,0)),""))</f>
        <v>Un.</v>
      </c>
      <c r="F75" s="10" t="s">
        <v>1014</v>
      </c>
      <c r="G75" s="10" t="n">
        <f aca="false">IFERROR(MATCH(F75,LISTAS!$D$2:$D$22,0),99)</f>
        <v>7</v>
      </c>
      <c r="H75" s="13" t="n">
        <v>1</v>
      </c>
      <c r="I75" s="10" t="s">
        <v>1034</v>
      </c>
      <c r="J75" s="10" t="s">
        <v>1035</v>
      </c>
      <c r="K75" s="10" t="s">
        <v>1048</v>
      </c>
      <c r="L75" s="10"/>
      <c r="M75" s="10" t="str">
        <f aca="false">IF(C75="","SIN ASIGNAR","ASIGNADO")</f>
        <v>ASIGNADO</v>
      </c>
      <c r="N75" s="10" t="s">
        <v>995</v>
      </c>
    </row>
    <row r="76" customFormat="false" ht="15" hidden="false" customHeight="false" outlineLevel="0" collapsed="false">
      <c r="A76" s="10" t="n">
        <v>71</v>
      </c>
      <c r="B76" s="10" t="s">
        <v>20</v>
      </c>
      <c r="C76" s="8" t="s">
        <v>736</v>
      </c>
      <c r="D76" s="10" t="str">
        <f aca="false">IF(C76="","",IFERROR(INDEX(NIVEL!$B:$B,MATCH(C76,NIVEL!$A:$A,0)),"¡Código no existe!"))</f>
        <v>Soporte Antisísmico Transversal ø3"</v>
      </c>
      <c r="E76" s="10" t="str">
        <f aca="false">IF(C76="","",IFERROR(INDEX(NIVEL!$C:$C,MATCH(C76,NIVEL!$A:$A,0)),""))</f>
        <v>Un.</v>
      </c>
      <c r="F76" s="10" t="s">
        <v>1014</v>
      </c>
      <c r="G76" s="10" t="n">
        <f aca="false">IFERROR(MATCH(F76,LISTAS!$D$2:$D$22,0),99)</f>
        <v>7</v>
      </c>
      <c r="H76" s="13" t="n">
        <v>16</v>
      </c>
      <c r="I76" s="10" t="s">
        <v>1039</v>
      </c>
      <c r="J76" s="10" t="s">
        <v>1040</v>
      </c>
      <c r="K76" s="10" t="s">
        <v>1041</v>
      </c>
      <c r="L76" s="10"/>
      <c r="M76" s="10" t="str">
        <f aca="false">IF(C76="","SIN ASIGNAR","ASIGNADO")</f>
        <v>ASIGNADO</v>
      </c>
      <c r="N76" s="10" t="s">
        <v>995</v>
      </c>
    </row>
    <row r="77" customFormat="false" ht="15" hidden="false" customHeight="false" outlineLevel="0" collapsed="false">
      <c r="A77" s="10" t="n">
        <v>72</v>
      </c>
      <c r="B77" s="10" t="s">
        <v>20</v>
      </c>
      <c r="C77" s="8" t="s">
        <v>740</v>
      </c>
      <c r="D77" s="10" t="str">
        <f aca="false">IF(C77="","",IFERROR(INDEX(NIVEL!$B:$B,MATCH(C77,NIVEL!$A:$A,0)),"¡Código no existe!"))</f>
        <v>Soporte Antisísmico Transversal ø4"</v>
      </c>
      <c r="E77" s="10" t="str">
        <f aca="false">IF(C77="","",IFERROR(INDEX(NIVEL!$C:$C,MATCH(C77,NIVEL!$A:$A,0)),""))</f>
        <v>Un.</v>
      </c>
      <c r="F77" s="10" t="s">
        <v>1014</v>
      </c>
      <c r="G77" s="10" t="n">
        <f aca="false">IFERROR(MATCH(F77,LISTAS!$D$2:$D$22,0),99)</f>
        <v>7</v>
      </c>
      <c r="H77" s="13" t="n">
        <v>3</v>
      </c>
      <c r="I77" s="10" t="s">
        <v>1039</v>
      </c>
      <c r="J77" s="10" t="s">
        <v>1040</v>
      </c>
      <c r="K77" s="10" t="s">
        <v>1048</v>
      </c>
      <c r="L77" s="10"/>
      <c r="M77" s="10" t="str">
        <f aca="false">IF(C77="","SIN ASIGNAR","ASIGNADO")</f>
        <v>ASIGNADO</v>
      </c>
      <c r="N77" s="10" t="s">
        <v>995</v>
      </c>
    </row>
    <row r="78" customFormat="false" ht="15" hidden="false" customHeight="false" outlineLevel="0" collapsed="false">
      <c r="A78" s="10" t="n">
        <v>73</v>
      </c>
      <c r="B78" s="10" t="s">
        <v>20</v>
      </c>
      <c r="C78" s="8" t="s">
        <v>744</v>
      </c>
      <c r="D78" s="10" t="str">
        <f aca="false">IF(C78="","",IFERROR(INDEX(NIVEL!$B:$B,MATCH(C78,NIVEL!$A:$A,0)),"¡Código no existe!"))</f>
        <v>Soporte Antisísmico Transversal ø6"</v>
      </c>
      <c r="E78" s="10" t="str">
        <f aca="false">IF(C78="","",IFERROR(INDEX(NIVEL!$C:$C,MATCH(C78,NIVEL!$A:$A,0)),""))</f>
        <v>Un.</v>
      </c>
      <c r="F78" s="10" t="s">
        <v>1014</v>
      </c>
      <c r="G78" s="10" t="n">
        <f aca="false">IFERROR(MATCH(F78,LISTAS!$D$2:$D$22,0),99)</f>
        <v>7</v>
      </c>
      <c r="H78" s="13" t="n">
        <v>2</v>
      </c>
      <c r="I78" s="10" t="s">
        <v>1039</v>
      </c>
      <c r="J78" s="10" t="s">
        <v>1040</v>
      </c>
      <c r="K78" s="10" t="s">
        <v>1036</v>
      </c>
      <c r="L78" s="10" t="s">
        <v>1038</v>
      </c>
      <c r="M78" s="10" t="str">
        <f aca="false">IF(C78="","SIN ASIGNAR","ASIGNADO")</f>
        <v>ASIGNADO</v>
      </c>
      <c r="N78" s="10" t="s">
        <v>995</v>
      </c>
    </row>
    <row r="79" customFormat="false" ht="15" hidden="false" customHeight="false" outlineLevel="0" collapsed="false">
      <c r="A79" s="10" t="n">
        <v>74</v>
      </c>
      <c r="B79" s="10" t="s">
        <v>20</v>
      </c>
      <c r="C79" s="8" t="s">
        <v>719</v>
      </c>
      <c r="D79" s="10" t="str">
        <f aca="false">IF(C79="","",IFERROR(INDEX(NIVEL!$B:$B,MATCH(C79,NIVEL!$A:$A,0)),"¡Código no existe!"))</f>
        <v>Soporte pera 1-1/2"</v>
      </c>
      <c r="E79" s="10" t="str">
        <f aca="false">IF(C79="","",IFERROR(INDEX(NIVEL!$C:$C,MATCH(C79,NIVEL!$A:$A,0)),""))</f>
        <v>Un.</v>
      </c>
      <c r="F79" s="10" t="s">
        <v>1017</v>
      </c>
      <c r="G79" s="10" t="n">
        <f aca="false">IFERROR(MATCH(F79,LISTAS!$D$2:$D$22,0),99)</f>
        <v>8</v>
      </c>
      <c r="H79" s="13" t="n">
        <v>6</v>
      </c>
      <c r="I79" s="10" t="s">
        <v>1042</v>
      </c>
      <c r="J79" s="10" t="s">
        <v>1043</v>
      </c>
      <c r="K79" s="10" t="s">
        <v>1044</v>
      </c>
      <c r="L79" s="10"/>
      <c r="M79" s="10" t="str">
        <f aca="false">IF(C79="","SIN ASIGNAR","ASIGNADO")</f>
        <v>ASIGNADO</v>
      </c>
      <c r="N79" s="10" t="s">
        <v>991</v>
      </c>
    </row>
    <row r="80" customFormat="false" ht="15" hidden="false" customHeight="false" outlineLevel="0" collapsed="false">
      <c r="A80" s="10" t="n">
        <v>75</v>
      </c>
      <c r="B80" s="10" t="s">
        <v>20</v>
      </c>
      <c r="C80" s="8" t="s">
        <v>720</v>
      </c>
      <c r="D80" s="10" t="str">
        <f aca="false">IF(C80="","",IFERROR(INDEX(NIVEL!$B:$B,MATCH(C80,NIVEL!$A:$A,0)),"¡Código no existe!"))</f>
        <v>Soporte pera 2"</v>
      </c>
      <c r="E80" s="10" t="str">
        <f aca="false">IF(C80="","",IFERROR(INDEX(NIVEL!$C:$C,MATCH(C80,NIVEL!$A:$A,0)),""))</f>
        <v>Un.</v>
      </c>
      <c r="F80" s="10" t="s">
        <v>1017</v>
      </c>
      <c r="G80" s="10" t="n">
        <f aca="false">IFERROR(MATCH(F80,LISTAS!$D$2:$D$22,0),99)</f>
        <v>8</v>
      </c>
      <c r="H80" s="13" t="n">
        <v>27</v>
      </c>
      <c r="I80" s="10" t="s">
        <v>1042</v>
      </c>
      <c r="J80" s="10" t="s">
        <v>1043</v>
      </c>
      <c r="K80" s="10" t="s">
        <v>1046</v>
      </c>
      <c r="L80" s="10"/>
      <c r="M80" s="10" t="str">
        <f aca="false">IF(C80="","SIN ASIGNAR","ASIGNADO")</f>
        <v>ASIGNADO</v>
      </c>
      <c r="N80" s="10" t="s">
        <v>995</v>
      </c>
    </row>
    <row r="81" customFormat="false" ht="15" hidden="false" customHeight="false" outlineLevel="0" collapsed="false">
      <c r="A81" s="10" t="n">
        <v>76</v>
      </c>
      <c r="B81" s="10" t="s">
        <v>20</v>
      </c>
      <c r="C81" s="8" t="s">
        <v>734</v>
      </c>
      <c r="D81" s="10" t="str">
        <f aca="false">IF(C81="","",IFERROR(INDEX(NIVEL!$B:$B,MATCH(C81,NIVEL!$A:$A,0)),"¡Código no existe!"))</f>
        <v>Soporte Antisísmico Longitudinal ø3"</v>
      </c>
      <c r="E81" s="10" t="str">
        <f aca="false">IF(C81="","",IFERROR(INDEX(NIVEL!$C:$C,MATCH(C81,NIVEL!$A:$A,0)),""))</f>
        <v>Un.</v>
      </c>
      <c r="F81" s="10" t="s">
        <v>1017</v>
      </c>
      <c r="G81" s="10" t="n">
        <f aca="false">IFERROR(MATCH(F81,LISTAS!$D$2:$D$22,0),99)</f>
        <v>8</v>
      </c>
      <c r="H81" s="13" t="n">
        <v>2</v>
      </c>
      <c r="I81" s="10" t="s">
        <v>1034</v>
      </c>
      <c r="J81" s="10" t="s">
        <v>1035</v>
      </c>
      <c r="K81" s="10" t="s">
        <v>1041</v>
      </c>
      <c r="L81" s="10"/>
      <c r="M81" s="10" t="str">
        <f aca="false">IF(C81="","SIN ASIGNAR","ASIGNADO")</f>
        <v>ASIGNADO</v>
      </c>
      <c r="N81" s="10" t="s">
        <v>995</v>
      </c>
    </row>
    <row r="82" customFormat="false" ht="15" hidden="false" customHeight="false" outlineLevel="0" collapsed="false">
      <c r="A82" s="10" t="n">
        <v>77</v>
      </c>
      <c r="B82" s="10" t="s">
        <v>20</v>
      </c>
      <c r="C82" s="8" t="s">
        <v>732</v>
      </c>
      <c r="D82" s="10" t="str">
        <f aca="false">IF(C82="","",IFERROR(INDEX(NIVEL!$B:$B,MATCH(C82,NIVEL!$A:$A,0)),"¡Código no existe!"))</f>
        <v>Soporte Antisísmico Transversal ø2-1/2"</v>
      </c>
      <c r="E82" s="10" t="str">
        <f aca="false">IF(C82="","",IFERROR(INDEX(NIVEL!$C:$C,MATCH(C82,NIVEL!$A:$A,0)),""))</f>
        <v>Un.</v>
      </c>
      <c r="F82" s="10" t="s">
        <v>1017</v>
      </c>
      <c r="G82" s="10" t="n">
        <f aca="false">IFERROR(MATCH(F82,LISTAS!$D$2:$D$22,0),99)</f>
        <v>8</v>
      </c>
      <c r="H82" s="13" t="n">
        <v>2</v>
      </c>
      <c r="I82" s="10" t="s">
        <v>1039</v>
      </c>
      <c r="J82" s="10" t="s">
        <v>1040</v>
      </c>
      <c r="K82" s="10" t="s">
        <v>1047</v>
      </c>
      <c r="L82" s="10"/>
      <c r="M82" s="10" t="str">
        <f aca="false">IF(C82="","SIN ASIGNAR","ASIGNADO")</f>
        <v>ASIGNADO</v>
      </c>
      <c r="N82" s="10" t="s">
        <v>991</v>
      </c>
    </row>
    <row r="83" customFormat="false" ht="15" hidden="false" customHeight="false" outlineLevel="0" collapsed="false">
      <c r="A83" s="10" t="n">
        <v>78</v>
      </c>
      <c r="B83" s="10" t="s">
        <v>20</v>
      </c>
      <c r="C83" s="8" t="s">
        <v>736</v>
      </c>
      <c r="D83" s="10" t="str">
        <f aca="false">IF(C83="","",IFERROR(INDEX(NIVEL!$B:$B,MATCH(C83,NIVEL!$A:$A,0)),"¡Código no existe!"))</f>
        <v>Soporte Antisísmico Transversal ø3"</v>
      </c>
      <c r="E83" s="10" t="str">
        <f aca="false">IF(C83="","",IFERROR(INDEX(NIVEL!$C:$C,MATCH(C83,NIVEL!$A:$A,0)),""))</f>
        <v>Un.</v>
      </c>
      <c r="F83" s="10" t="s">
        <v>1017</v>
      </c>
      <c r="G83" s="10" t="n">
        <f aca="false">IFERROR(MATCH(F83,LISTAS!$D$2:$D$22,0),99)</f>
        <v>8</v>
      </c>
      <c r="H83" s="13" t="n">
        <v>6</v>
      </c>
      <c r="I83" s="10" t="s">
        <v>1039</v>
      </c>
      <c r="J83" s="10" t="s">
        <v>1040</v>
      </c>
      <c r="K83" s="10" t="s">
        <v>1041</v>
      </c>
      <c r="L83" s="10"/>
      <c r="M83" s="10" t="str">
        <f aca="false">IF(C83="","SIN ASIGNAR","ASIGNADO")</f>
        <v>ASIGNADO</v>
      </c>
      <c r="N83" s="10" t="s">
        <v>995</v>
      </c>
    </row>
    <row r="84" customFormat="false" ht="15" hidden="false" customHeight="false" outlineLevel="0" collapsed="false">
      <c r="A84" s="10" t="n">
        <v>79</v>
      </c>
      <c r="B84" s="10" t="s">
        <v>20</v>
      </c>
      <c r="C84" s="8" t="s">
        <v>719</v>
      </c>
      <c r="D84" s="10" t="str">
        <f aca="false">IF(C84="","",IFERROR(INDEX(NIVEL!$B:$B,MATCH(C84,NIVEL!$A:$A,0)),"¡Código no existe!"))</f>
        <v>Soporte pera 1-1/2"</v>
      </c>
      <c r="E84" s="10" t="str">
        <f aca="false">IF(C84="","",IFERROR(INDEX(NIVEL!$C:$C,MATCH(C84,NIVEL!$A:$A,0)),""))</f>
        <v>Un.</v>
      </c>
      <c r="F84" s="10" t="s">
        <v>1049</v>
      </c>
      <c r="G84" s="10" t="n">
        <f aca="false">IFERROR(MATCH(F84,LISTAS!$D$2:$D$22,0),99)</f>
        <v>9</v>
      </c>
      <c r="H84" s="13" t="n">
        <v>13</v>
      </c>
      <c r="I84" s="10" t="s">
        <v>1042</v>
      </c>
      <c r="J84" s="10" t="s">
        <v>1043</v>
      </c>
      <c r="K84" s="10" t="s">
        <v>1044</v>
      </c>
      <c r="L84" s="10"/>
      <c r="M84" s="10" t="str">
        <f aca="false">IF(C84="","SIN ASIGNAR","ASIGNADO")</f>
        <v>ASIGNADO</v>
      </c>
      <c r="N84" s="10" t="s">
        <v>991</v>
      </c>
    </row>
    <row r="85" customFormat="false" ht="15" hidden="false" customHeight="false" outlineLevel="0" collapsed="false">
      <c r="A85" s="10" t="n">
        <v>80</v>
      </c>
      <c r="B85" s="10" t="s">
        <v>20</v>
      </c>
      <c r="C85" s="8" t="s">
        <v>719</v>
      </c>
      <c r="D85" s="10" t="str">
        <f aca="false">IF(C85="","",IFERROR(INDEX(NIVEL!$B:$B,MATCH(C85,NIVEL!$A:$A,0)),"¡Código no existe!"))</f>
        <v>Soporte pera 1-1/2"</v>
      </c>
      <c r="E85" s="10" t="str">
        <f aca="false">IF(C85="","",IFERROR(INDEX(NIVEL!$C:$C,MATCH(C85,NIVEL!$A:$A,0)),""))</f>
        <v>Un.</v>
      </c>
      <c r="F85" s="10" t="s">
        <v>1050</v>
      </c>
      <c r="G85" s="10" t="n">
        <f aca="false">IFERROR(MATCH(F85,LISTAS!$D$2:$D$22,0),99)</f>
        <v>10</v>
      </c>
      <c r="H85" s="13" t="n">
        <v>13</v>
      </c>
      <c r="I85" s="10" t="s">
        <v>1042</v>
      </c>
      <c r="J85" s="10" t="s">
        <v>1043</v>
      </c>
      <c r="K85" s="10" t="s">
        <v>1044</v>
      </c>
      <c r="L85" s="10"/>
      <c r="M85" s="10" t="str">
        <f aca="false">IF(C85="","SIN ASIGNAR","ASIGNADO")</f>
        <v>ASIGNADO</v>
      </c>
      <c r="N85" s="10" t="s">
        <v>991</v>
      </c>
    </row>
    <row r="86" customFormat="false" ht="15" hidden="false" customHeight="false" outlineLevel="0" collapsed="false">
      <c r="A86" s="10" t="n">
        <v>81</v>
      </c>
      <c r="B86" s="10" t="s">
        <v>20</v>
      </c>
      <c r="C86" s="8" t="s">
        <v>742</v>
      </c>
      <c r="D86" s="10" t="str">
        <f aca="false">IF(C86="","",IFERROR(INDEX(NIVEL!$B:$B,MATCH(C86,NIVEL!$A:$A,0)),"¡Código no existe!"))</f>
        <v>Soporte Antisísmico Longitudinal ø6"</v>
      </c>
      <c r="E86" s="10" t="str">
        <f aca="false">IF(C86="","",IFERROR(INDEX(NIVEL!$C:$C,MATCH(C86,NIVEL!$A:$A,0)),""))</f>
        <v>Un.</v>
      </c>
      <c r="F86" s="10" t="s">
        <v>1050</v>
      </c>
      <c r="G86" s="10" t="n">
        <f aca="false">IFERROR(MATCH(F86,LISTAS!$D$2:$D$22,0),99)</f>
        <v>10</v>
      </c>
      <c r="H86" s="13" t="n">
        <v>2</v>
      </c>
      <c r="I86" s="10" t="s">
        <v>1034</v>
      </c>
      <c r="J86" s="10" t="s">
        <v>1035</v>
      </c>
      <c r="K86" s="10" t="s">
        <v>1036</v>
      </c>
      <c r="L86" s="10" t="s">
        <v>1038</v>
      </c>
      <c r="M86" s="10" t="str">
        <f aca="false">IF(C86="","SIN ASIGNAR","ASIGNADO")</f>
        <v>ASIGNADO</v>
      </c>
      <c r="N86" s="10" t="s">
        <v>995</v>
      </c>
    </row>
    <row r="87" customFormat="false" ht="15" hidden="false" customHeight="false" outlineLevel="0" collapsed="false">
      <c r="A87" s="10" t="n">
        <v>82</v>
      </c>
      <c r="B87" s="10" t="s">
        <v>20</v>
      </c>
      <c r="C87" s="8" t="s">
        <v>744</v>
      </c>
      <c r="D87" s="10" t="str">
        <f aca="false">IF(C87="","",IFERROR(INDEX(NIVEL!$B:$B,MATCH(C87,NIVEL!$A:$A,0)),"¡Código no existe!"))</f>
        <v>Soporte Antisísmico Transversal ø6"</v>
      </c>
      <c r="E87" s="10" t="str">
        <f aca="false">IF(C87="","",IFERROR(INDEX(NIVEL!$C:$C,MATCH(C87,NIVEL!$A:$A,0)),""))</f>
        <v>Un.</v>
      </c>
      <c r="F87" s="10" t="s">
        <v>1050</v>
      </c>
      <c r="G87" s="10" t="n">
        <f aca="false">IFERROR(MATCH(F87,LISTAS!$D$2:$D$22,0),99)</f>
        <v>10</v>
      </c>
      <c r="H87" s="13" t="n">
        <v>2</v>
      </c>
      <c r="I87" s="10" t="s">
        <v>1039</v>
      </c>
      <c r="J87" s="10" t="s">
        <v>1040</v>
      </c>
      <c r="K87" s="10" t="s">
        <v>1036</v>
      </c>
      <c r="L87" s="10" t="s">
        <v>1038</v>
      </c>
      <c r="M87" s="10" t="str">
        <f aca="false">IF(C87="","SIN ASIGNAR","ASIGNADO")</f>
        <v>ASIGNADO</v>
      </c>
      <c r="N87" s="10" t="s">
        <v>995</v>
      </c>
    </row>
    <row r="88" customFormat="false" ht="15" hidden="false" customHeight="false" outlineLevel="0" collapsed="false">
      <c r="A88" s="10" t="n">
        <v>83</v>
      </c>
      <c r="B88" s="10" t="s">
        <v>20</v>
      </c>
      <c r="C88" s="8" t="s">
        <v>719</v>
      </c>
      <c r="D88" s="10" t="str">
        <f aca="false">IF(C88="","",IFERROR(INDEX(NIVEL!$B:$B,MATCH(C88,NIVEL!$A:$A,0)),"¡Código no existe!"))</f>
        <v>Soporte pera 1-1/2"</v>
      </c>
      <c r="E88" s="10" t="str">
        <f aca="false">IF(C88="","",IFERROR(INDEX(NIVEL!$C:$C,MATCH(C88,NIVEL!$A:$A,0)),""))</f>
        <v>Un.</v>
      </c>
      <c r="F88" s="10" t="s">
        <v>1051</v>
      </c>
      <c r="G88" s="10" t="n">
        <f aca="false">IFERROR(MATCH(F88,LISTAS!$D$2:$D$22,0),99)</f>
        <v>11</v>
      </c>
      <c r="H88" s="13" t="n">
        <v>13</v>
      </c>
      <c r="I88" s="10" t="s">
        <v>1042</v>
      </c>
      <c r="J88" s="10" t="s">
        <v>1043</v>
      </c>
      <c r="K88" s="10" t="s">
        <v>1044</v>
      </c>
      <c r="L88" s="10"/>
      <c r="M88" s="10" t="str">
        <f aca="false">IF(C88="","SIN ASIGNAR","ASIGNADO")</f>
        <v>ASIGNADO</v>
      </c>
      <c r="N88" s="10" t="s">
        <v>991</v>
      </c>
    </row>
    <row r="89" customFormat="false" ht="15" hidden="false" customHeight="false" outlineLevel="0" collapsed="false">
      <c r="A89" s="10" t="n">
        <v>84</v>
      </c>
      <c r="B89" s="10" t="s">
        <v>20</v>
      </c>
      <c r="C89" s="8" t="s">
        <v>719</v>
      </c>
      <c r="D89" s="10" t="str">
        <f aca="false">IF(C89="","",IFERROR(INDEX(NIVEL!$B:$B,MATCH(C89,NIVEL!$A:$A,0)),"¡Código no existe!"))</f>
        <v>Soporte pera 1-1/2"</v>
      </c>
      <c r="E89" s="10" t="str">
        <f aca="false">IF(C89="","",IFERROR(INDEX(NIVEL!$C:$C,MATCH(C89,NIVEL!$A:$A,0)),""))</f>
        <v>Un.</v>
      </c>
      <c r="F89" s="10" t="s">
        <v>1052</v>
      </c>
      <c r="G89" s="10" t="n">
        <f aca="false">IFERROR(MATCH(F89,LISTAS!$D$2:$D$22,0),99)</f>
        <v>12</v>
      </c>
      <c r="H89" s="13" t="n">
        <v>13</v>
      </c>
      <c r="I89" s="10" t="s">
        <v>1042</v>
      </c>
      <c r="J89" s="10" t="s">
        <v>1043</v>
      </c>
      <c r="K89" s="10" t="s">
        <v>1044</v>
      </c>
      <c r="L89" s="10"/>
      <c r="M89" s="10" t="str">
        <f aca="false">IF(C89="","SIN ASIGNAR","ASIGNADO")</f>
        <v>ASIGNADO</v>
      </c>
      <c r="N89" s="10" t="s">
        <v>991</v>
      </c>
    </row>
    <row r="90" customFormat="false" ht="15" hidden="false" customHeight="false" outlineLevel="0" collapsed="false">
      <c r="A90" s="10" t="n">
        <v>85</v>
      </c>
      <c r="B90" s="10" t="s">
        <v>20</v>
      </c>
      <c r="C90" s="8" t="s">
        <v>719</v>
      </c>
      <c r="D90" s="10" t="str">
        <f aca="false">IF(C90="","",IFERROR(INDEX(NIVEL!$B:$B,MATCH(C90,NIVEL!$A:$A,0)),"¡Código no existe!"))</f>
        <v>Soporte pera 1-1/2"</v>
      </c>
      <c r="E90" s="10" t="str">
        <f aca="false">IF(C90="","",IFERROR(INDEX(NIVEL!$C:$C,MATCH(C90,NIVEL!$A:$A,0)),""))</f>
        <v>Un.</v>
      </c>
      <c r="F90" s="10" t="s">
        <v>1053</v>
      </c>
      <c r="G90" s="10" t="n">
        <f aca="false">IFERROR(MATCH(F90,LISTAS!$D$2:$D$22,0),99)</f>
        <v>13</v>
      </c>
      <c r="H90" s="13" t="n">
        <v>13</v>
      </c>
      <c r="I90" s="10" t="s">
        <v>1042</v>
      </c>
      <c r="J90" s="10" t="s">
        <v>1043</v>
      </c>
      <c r="K90" s="10" t="s">
        <v>1044</v>
      </c>
      <c r="L90" s="10"/>
      <c r="M90" s="10" t="str">
        <f aca="false">IF(C90="","SIN ASIGNAR","ASIGNADO")</f>
        <v>ASIGNADO</v>
      </c>
      <c r="N90" s="10" t="s">
        <v>991</v>
      </c>
    </row>
    <row r="91" customFormat="false" ht="15" hidden="false" customHeight="false" outlineLevel="0" collapsed="false">
      <c r="A91" s="10" t="n">
        <v>86</v>
      </c>
      <c r="B91" s="10" t="s">
        <v>20</v>
      </c>
      <c r="C91" s="8" t="s">
        <v>744</v>
      </c>
      <c r="D91" s="10" t="str">
        <f aca="false">IF(C91="","",IFERROR(INDEX(NIVEL!$B:$B,MATCH(C91,NIVEL!$A:$A,0)),"¡Código no existe!"))</f>
        <v>Soporte Antisísmico Transversal ø6"</v>
      </c>
      <c r="E91" s="10" t="str">
        <f aca="false">IF(C91="","",IFERROR(INDEX(NIVEL!$C:$C,MATCH(C91,NIVEL!$A:$A,0)),""))</f>
        <v>Un.</v>
      </c>
      <c r="F91" s="10" t="s">
        <v>1053</v>
      </c>
      <c r="G91" s="10" t="n">
        <f aca="false">IFERROR(MATCH(F91,LISTAS!$D$2:$D$22,0),99)</f>
        <v>13</v>
      </c>
      <c r="H91" s="13" t="n">
        <v>2</v>
      </c>
      <c r="I91" s="10" t="s">
        <v>1039</v>
      </c>
      <c r="J91" s="10" t="s">
        <v>1040</v>
      </c>
      <c r="K91" s="10" t="s">
        <v>1036</v>
      </c>
      <c r="L91" s="10" t="s">
        <v>1038</v>
      </c>
      <c r="M91" s="10" t="str">
        <f aca="false">IF(C91="","SIN ASIGNAR","ASIGNADO")</f>
        <v>ASIGNADO</v>
      </c>
      <c r="N91" s="10" t="s">
        <v>995</v>
      </c>
    </row>
    <row r="92" customFormat="false" ht="15" hidden="false" customHeight="false" outlineLevel="0" collapsed="false">
      <c r="A92" s="10" t="n">
        <v>87</v>
      </c>
      <c r="B92" s="10" t="s">
        <v>20</v>
      </c>
      <c r="C92" s="8" t="s">
        <v>719</v>
      </c>
      <c r="D92" s="10" t="str">
        <f aca="false">IF(C92="","",IFERROR(INDEX(NIVEL!$B:$B,MATCH(C92,NIVEL!$A:$A,0)),"¡Código no existe!"))</f>
        <v>Soporte pera 1-1/2"</v>
      </c>
      <c r="E92" s="10" t="str">
        <f aca="false">IF(C92="","",IFERROR(INDEX(NIVEL!$C:$C,MATCH(C92,NIVEL!$A:$A,0)),""))</f>
        <v>Un.</v>
      </c>
      <c r="F92" s="10" t="s">
        <v>1054</v>
      </c>
      <c r="G92" s="10" t="n">
        <f aca="false">IFERROR(MATCH(F92,LISTAS!$D$2:$D$22,0),99)</f>
        <v>14</v>
      </c>
      <c r="H92" s="13" t="n">
        <v>13</v>
      </c>
      <c r="I92" s="10" t="s">
        <v>1042</v>
      </c>
      <c r="J92" s="10" t="s">
        <v>1043</v>
      </c>
      <c r="K92" s="10" t="s">
        <v>1044</v>
      </c>
      <c r="L92" s="10"/>
      <c r="M92" s="10" t="str">
        <f aca="false">IF(C92="","SIN ASIGNAR","ASIGNADO")</f>
        <v>ASIGNADO</v>
      </c>
      <c r="N92" s="10" t="s">
        <v>991</v>
      </c>
    </row>
    <row r="93" customFormat="false" ht="15" hidden="false" customHeight="false" outlineLevel="0" collapsed="false">
      <c r="A93" s="10" t="n">
        <v>88</v>
      </c>
      <c r="B93" s="10" t="s">
        <v>20</v>
      </c>
      <c r="C93" s="8" t="s">
        <v>719</v>
      </c>
      <c r="D93" s="10" t="str">
        <f aca="false">IF(C93="","",IFERROR(INDEX(NIVEL!$B:$B,MATCH(C93,NIVEL!$A:$A,0)),"¡Código no existe!"))</f>
        <v>Soporte pera 1-1/2"</v>
      </c>
      <c r="E93" s="10" t="str">
        <f aca="false">IF(C93="","",IFERROR(INDEX(NIVEL!$C:$C,MATCH(C93,NIVEL!$A:$A,0)),""))</f>
        <v>Un.</v>
      </c>
      <c r="F93" s="10" t="s">
        <v>1055</v>
      </c>
      <c r="G93" s="10" t="n">
        <f aca="false">IFERROR(MATCH(F93,LISTAS!$D$2:$D$22,0),99)</f>
        <v>15</v>
      </c>
      <c r="H93" s="13" t="n">
        <v>13</v>
      </c>
      <c r="I93" s="10" t="s">
        <v>1042</v>
      </c>
      <c r="J93" s="10" t="s">
        <v>1043</v>
      </c>
      <c r="K93" s="10" t="s">
        <v>1044</v>
      </c>
      <c r="L93" s="10"/>
      <c r="M93" s="10" t="str">
        <f aca="false">IF(C93="","SIN ASIGNAR","ASIGNADO")</f>
        <v>ASIGNADO</v>
      </c>
      <c r="N93" s="10" t="s">
        <v>991</v>
      </c>
    </row>
    <row r="94" customFormat="false" ht="15" hidden="false" customHeight="false" outlineLevel="0" collapsed="false">
      <c r="A94" s="10" t="n">
        <v>89</v>
      </c>
      <c r="B94" s="10" t="s">
        <v>20</v>
      </c>
      <c r="C94" s="8" t="s">
        <v>719</v>
      </c>
      <c r="D94" s="10" t="str">
        <f aca="false">IF(C94="","",IFERROR(INDEX(NIVEL!$B:$B,MATCH(C94,NIVEL!$A:$A,0)),"¡Código no existe!"))</f>
        <v>Soporte pera 1-1/2"</v>
      </c>
      <c r="E94" s="10" t="str">
        <f aca="false">IF(C94="","",IFERROR(INDEX(NIVEL!$C:$C,MATCH(C94,NIVEL!$A:$A,0)),""))</f>
        <v>Un.</v>
      </c>
      <c r="F94" s="10" t="s">
        <v>1056</v>
      </c>
      <c r="G94" s="10" t="n">
        <f aca="false">IFERROR(MATCH(F94,LISTAS!$D$2:$D$22,0),99)</f>
        <v>16</v>
      </c>
      <c r="H94" s="13" t="n">
        <v>13</v>
      </c>
      <c r="I94" s="10" t="s">
        <v>1042</v>
      </c>
      <c r="J94" s="10" t="s">
        <v>1043</v>
      </c>
      <c r="K94" s="10" t="s">
        <v>1044</v>
      </c>
      <c r="L94" s="10"/>
      <c r="M94" s="10" t="str">
        <f aca="false">IF(C94="","SIN ASIGNAR","ASIGNADO")</f>
        <v>ASIGNADO</v>
      </c>
      <c r="N94" s="10" t="s">
        <v>991</v>
      </c>
    </row>
    <row r="95" customFormat="false" ht="15" hidden="false" customHeight="false" outlineLevel="0" collapsed="false">
      <c r="A95" s="10" t="n">
        <v>90</v>
      </c>
      <c r="B95" s="10" t="s">
        <v>20</v>
      </c>
      <c r="C95" s="8" t="s">
        <v>744</v>
      </c>
      <c r="D95" s="10" t="str">
        <f aca="false">IF(C95="","",IFERROR(INDEX(NIVEL!$B:$B,MATCH(C95,NIVEL!$A:$A,0)),"¡Código no existe!"))</f>
        <v>Soporte Antisísmico Transversal ø6"</v>
      </c>
      <c r="E95" s="10" t="str">
        <f aca="false">IF(C95="","",IFERROR(INDEX(NIVEL!$C:$C,MATCH(C95,NIVEL!$A:$A,0)),""))</f>
        <v>Un.</v>
      </c>
      <c r="F95" s="10" t="s">
        <v>1056</v>
      </c>
      <c r="G95" s="10" t="n">
        <f aca="false">IFERROR(MATCH(F95,LISTAS!$D$2:$D$22,0),99)</f>
        <v>16</v>
      </c>
      <c r="H95" s="13" t="n">
        <v>2</v>
      </c>
      <c r="I95" s="10" t="s">
        <v>1039</v>
      </c>
      <c r="J95" s="10" t="s">
        <v>1040</v>
      </c>
      <c r="K95" s="10" t="s">
        <v>1036</v>
      </c>
      <c r="L95" s="10" t="s">
        <v>1038</v>
      </c>
      <c r="M95" s="10" t="str">
        <f aca="false">IF(C95="","SIN ASIGNAR","ASIGNADO")</f>
        <v>ASIGNADO</v>
      </c>
      <c r="N95" s="10" t="s">
        <v>995</v>
      </c>
    </row>
    <row r="96" customFormat="false" ht="15" hidden="false" customHeight="false" outlineLevel="0" collapsed="false">
      <c r="A96" s="10" t="n">
        <v>91</v>
      </c>
      <c r="B96" s="10" t="s">
        <v>20</v>
      </c>
      <c r="C96" s="8" t="s">
        <v>719</v>
      </c>
      <c r="D96" s="10" t="str">
        <f aca="false">IF(C96="","",IFERROR(INDEX(NIVEL!$B:$B,MATCH(C96,NIVEL!$A:$A,0)),"¡Código no existe!"))</f>
        <v>Soporte pera 1-1/2"</v>
      </c>
      <c r="E96" s="10" t="str">
        <f aca="false">IF(C96="","",IFERROR(INDEX(NIVEL!$C:$C,MATCH(C96,NIVEL!$A:$A,0)),""))</f>
        <v>Un.</v>
      </c>
      <c r="F96" s="10" t="s">
        <v>1057</v>
      </c>
      <c r="G96" s="10" t="n">
        <f aca="false">IFERROR(MATCH(F96,LISTAS!$D$2:$D$22,0),99)</f>
        <v>17</v>
      </c>
      <c r="H96" s="13" t="n">
        <v>13</v>
      </c>
      <c r="I96" s="10" t="s">
        <v>1042</v>
      </c>
      <c r="J96" s="10" t="s">
        <v>1043</v>
      </c>
      <c r="K96" s="10" t="s">
        <v>1044</v>
      </c>
      <c r="L96" s="10"/>
      <c r="M96" s="10" t="str">
        <f aca="false">IF(C96="","SIN ASIGNAR","ASIGNADO")</f>
        <v>ASIGNADO</v>
      </c>
      <c r="N96" s="10" t="s">
        <v>991</v>
      </c>
    </row>
    <row r="97" customFormat="false" ht="15" hidden="false" customHeight="false" outlineLevel="0" collapsed="false">
      <c r="A97" s="10" t="n">
        <v>92</v>
      </c>
      <c r="B97" s="10" t="s">
        <v>20</v>
      </c>
      <c r="C97" s="8" t="s">
        <v>719</v>
      </c>
      <c r="D97" s="10" t="str">
        <f aca="false">IF(C97="","",IFERROR(INDEX(NIVEL!$B:$B,MATCH(C97,NIVEL!$A:$A,0)),"¡Código no existe!"))</f>
        <v>Soporte pera 1-1/2"</v>
      </c>
      <c r="E97" s="10" t="str">
        <f aca="false">IF(C97="","",IFERROR(INDEX(NIVEL!$C:$C,MATCH(C97,NIVEL!$A:$A,0)),""))</f>
        <v>Un.</v>
      </c>
      <c r="F97" s="10" t="s">
        <v>1058</v>
      </c>
      <c r="G97" s="10" t="n">
        <f aca="false">IFERROR(MATCH(F97,LISTAS!$D$2:$D$22,0),99)</f>
        <v>18</v>
      </c>
      <c r="H97" s="13" t="n">
        <v>13</v>
      </c>
      <c r="I97" s="10" t="s">
        <v>1042</v>
      </c>
      <c r="J97" s="10" t="s">
        <v>1043</v>
      </c>
      <c r="K97" s="10" t="s">
        <v>1044</v>
      </c>
      <c r="L97" s="10"/>
      <c r="M97" s="10" t="str">
        <f aca="false">IF(C97="","SIN ASIGNAR","ASIGNADO")</f>
        <v>ASIGNADO</v>
      </c>
      <c r="N97" s="10" t="s">
        <v>991</v>
      </c>
    </row>
    <row r="98" customFormat="false" ht="15" hidden="false" customHeight="false" outlineLevel="0" collapsed="false">
      <c r="A98" s="10" t="n">
        <v>93</v>
      </c>
      <c r="B98" s="10" t="s">
        <v>20</v>
      </c>
      <c r="C98" s="8" t="s">
        <v>719</v>
      </c>
      <c r="D98" s="10" t="str">
        <f aca="false">IF(C98="","",IFERROR(INDEX(NIVEL!$B:$B,MATCH(C98,NIVEL!$A:$A,0)),"¡Código no existe!"))</f>
        <v>Soporte pera 1-1/2"</v>
      </c>
      <c r="E98" s="10" t="str">
        <f aca="false">IF(C98="","",IFERROR(INDEX(NIVEL!$C:$C,MATCH(C98,NIVEL!$A:$A,0)),""))</f>
        <v>Un.</v>
      </c>
      <c r="F98" s="10" t="s">
        <v>1018</v>
      </c>
      <c r="G98" s="10" t="n">
        <f aca="false">IFERROR(MATCH(F98,LISTAS!$D$2:$D$22,0),99)</f>
        <v>19</v>
      </c>
      <c r="H98" s="13" t="n">
        <v>13</v>
      </c>
      <c r="I98" s="10" t="s">
        <v>1042</v>
      </c>
      <c r="J98" s="10" t="s">
        <v>1043</v>
      </c>
      <c r="K98" s="10" t="s">
        <v>1044</v>
      </c>
      <c r="L98" s="10"/>
      <c r="M98" s="10" t="str">
        <f aca="false">IF(C98="","SIN ASIGNAR","ASIGNADO")</f>
        <v>ASIGNADO</v>
      </c>
      <c r="N98" s="10" t="s">
        <v>991</v>
      </c>
    </row>
    <row r="99" customFormat="false" ht="15" hidden="false" customHeight="false" outlineLevel="0" collapsed="false">
      <c r="A99" s="10" t="n">
        <v>94</v>
      </c>
      <c r="B99" s="10" t="s">
        <v>20</v>
      </c>
      <c r="C99" s="8" t="s">
        <v>719</v>
      </c>
      <c r="D99" s="10" t="str">
        <f aca="false">IF(C99="","",IFERROR(INDEX(NIVEL!$B:$B,MATCH(C99,NIVEL!$A:$A,0)),"¡Código no existe!"))</f>
        <v>Soporte pera 1-1/2"</v>
      </c>
      <c r="E99" s="10" t="str">
        <f aca="false">IF(C99="","",IFERROR(INDEX(NIVEL!$C:$C,MATCH(C99,NIVEL!$A:$A,0)),""))</f>
        <v>Un.</v>
      </c>
      <c r="F99" s="10" t="s">
        <v>1022</v>
      </c>
      <c r="G99" s="10" t="n">
        <f aca="false">IFERROR(MATCH(F99,LISTAS!$D$2:$D$22,0),99)</f>
        <v>20</v>
      </c>
      <c r="H99" s="13" t="n">
        <v>13</v>
      </c>
      <c r="I99" s="10" t="s">
        <v>1042</v>
      </c>
      <c r="J99" s="10" t="s">
        <v>1043</v>
      </c>
      <c r="K99" s="10" t="s">
        <v>1044</v>
      </c>
      <c r="L99" s="10"/>
      <c r="M99" s="10" t="str">
        <f aca="false">IF(C99="","SIN ASIGNAR","ASIGNADO")</f>
        <v>ASIGNADO</v>
      </c>
      <c r="N99" s="10" t="s">
        <v>991</v>
      </c>
    </row>
    <row r="100" customFormat="false" ht="15" hidden="false" customHeight="false" outlineLevel="0" collapsed="false">
      <c r="A100" s="10" t="n">
        <v>95</v>
      </c>
      <c r="B100" s="10" t="s">
        <v>20</v>
      </c>
      <c r="C100" s="8" t="s">
        <v>719</v>
      </c>
      <c r="D100" s="10" t="str">
        <f aca="false">IF(C100="","",IFERROR(INDEX(NIVEL!$B:$B,MATCH(C100,NIVEL!$A:$A,0)),"¡Código no existe!"))</f>
        <v>Soporte pera 1-1/2"</v>
      </c>
      <c r="E100" s="10" t="str">
        <f aca="false">IF(C100="","",IFERROR(INDEX(NIVEL!$C:$C,MATCH(C100,NIVEL!$A:$A,0)),""))</f>
        <v>Un.</v>
      </c>
      <c r="F100" s="10" t="s">
        <v>1059</v>
      </c>
      <c r="G100" s="10" t="n">
        <f aca="false">IFERROR(MATCH(F100,LISTAS!$D$2:$D$22,0),99)</f>
        <v>21</v>
      </c>
      <c r="H100" s="13" t="n">
        <v>13</v>
      </c>
      <c r="I100" s="10" t="s">
        <v>1042</v>
      </c>
      <c r="J100" s="10" t="s">
        <v>1043</v>
      </c>
      <c r="K100" s="10" t="s">
        <v>1044</v>
      </c>
      <c r="L100" s="10"/>
      <c r="M100" s="10" t="str">
        <f aca="false">IF(C100="","SIN ASIGNAR","ASIGNADO")</f>
        <v>ASIGNADO</v>
      </c>
      <c r="N100" s="10" t="s">
        <v>991</v>
      </c>
    </row>
    <row r="101" customFormat="false" ht="15" hidden="false" customHeight="false" outlineLevel="0" collapsed="false">
      <c r="A101" s="10" t="n">
        <v>96</v>
      </c>
      <c r="B101" s="10" t="s">
        <v>21</v>
      </c>
      <c r="C101" s="8" t="s">
        <v>11</v>
      </c>
      <c r="D101" s="10" t="str">
        <f aca="false">IF(C101="","",IFERROR(INDEX(NIVEL!$B:$B,MATCH(C101,NIVEL!$A:$A,0)),"¡Código no existe!"))</f>
        <v>Tubería A.C. Sche 10 De ø1 1/2"</v>
      </c>
      <c r="E101" s="10" t="str">
        <f aca="false">IF(C101="","",IFERROR(INDEX(NIVEL!$C:$C,MATCH(C101,NIVEL!$A:$A,0)),""))</f>
        <v>Ml.</v>
      </c>
      <c r="F101" s="10" t="s">
        <v>987</v>
      </c>
      <c r="G101" s="10" t="n">
        <f aca="false">IFERROR(MATCH(F101,LISTAS!$D$2:$D$22,0),99)</f>
        <v>1</v>
      </c>
      <c r="H101" s="13" t="n">
        <v>1.64</v>
      </c>
      <c r="I101" s="10" t="s">
        <v>1060</v>
      </c>
      <c r="J101" s="10"/>
      <c r="K101" s="10" t="s">
        <v>1061</v>
      </c>
      <c r="L101" s="10"/>
      <c r="M101" s="10" t="str">
        <f aca="false">IF(C101="","SIN ASIGNAR","ASIGNADO")</f>
        <v>ASIGNADO</v>
      </c>
      <c r="N101" s="10" t="s">
        <v>991</v>
      </c>
    </row>
    <row r="102" customFormat="false" ht="15" hidden="false" customHeight="false" outlineLevel="0" collapsed="false">
      <c r="A102" s="10" t="n">
        <v>97</v>
      </c>
      <c r="B102" s="10" t="s">
        <v>21</v>
      </c>
      <c r="C102" s="8" t="s">
        <v>11</v>
      </c>
      <c r="D102" s="10" t="str">
        <f aca="false">IF(C102="","",IFERROR(INDEX(NIVEL!$B:$B,MATCH(C102,NIVEL!$A:$A,0)),"¡Código no existe!"))</f>
        <v>Tubería A.C. Sche 10 De ø1 1/2"</v>
      </c>
      <c r="E102" s="10" t="str">
        <f aca="false">IF(C102="","",IFERROR(INDEX(NIVEL!$C:$C,MATCH(C102,NIVEL!$A:$A,0)),""))</f>
        <v>Ml.</v>
      </c>
      <c r="F102" s="10" t="s">
        <v>987</v>
      </c>
      <c r="G102" s="10" t="n">
        <f aca="false">IFERROR(MATCH(F102,LISTAS!$D$2:$D$22,0),99)</f>
        <v>1</v>
      </c>
      <c r="H102" s="13" t="n">
        <v>0.34</v>
      </c>
      <c r="I102" s="10" t="s">
        <v>1062</v>
      </c>
      <c r="J102" s="10"/>
      <c r="K102" s="10" t="s">
        <v>1061</v>
      </c>
      <c r="L102" s="10"/>
      <c r="M102" s="10" t="str">
        <f aca="false">IF(C102="","SIN ASIGNAR","ASIGNADO")</f>
        <v>ASIGNADO</v>
      </c>
      <c r="N102" s="10" t="s">
        <v>995</v>
      </c>
    </row>
    <row r="103" customFormat="false" ht="15" hidden="false" customHeight="false" outlineLevel="0" collapsed="false">
      <c r="A103" s="10" t="n">
        <v>98</v>
      </c>
      <c r="B103" s="10" t="s">
        <v>21</v>
      </c>
      <c r="C103" s="8" t="s">
        <v>703</v>
      </c>
      <c r="D103" s="10" t="str">
        <f aca="false">IF(C103="","",IFERROR(INDEX(NIVEL!$B:$B,MATCH(C103,NIVEL!$A:$A,0)),"¡Código no existe!"))</f>
        <v>Tubería A.C. Sche 10 De ø1"</v>
      </c>
      <c r="E103" s="10" t="str">
        <f aca="false">IF(C103="","",IFERROR(INDEX(NIVEL!$C:$C,MATCH(C103,NIVEL!$A:$A,0)),""))</f>
        <v>Ml.</v>
      </c>
      <c r="F103" s="10" t="s">
        <v>987</v>
      </c>
      <c r="G103" s="10" t="n">
        <f aca="false">IFERROR(MATCH(F103,LISTAS!$D$2:$D$22,0),99)</f>
        <v>1</v>
      </c>
      <c r="H103" s="13" t="n">
        <v>0.25</v>
      </c>
      <c r="I103" s="10" t="s">
        <v>1060</v>
      </c>
      <c r="J103" s="10"/>
      <c r="K103" s="10" t="s">
        <v>1025</v>
      </c>
      <c r="L103" s="10"/>
      <c r="M103" s="10" t="str">
        <f aca="false">IF(C103="","SIN ASIGNAR","ASIGNADO")</f>
        <v>ASIGNADO</v>
      </c>
      <c r="N103" s="10" t="s">
        <v>991</v>
      </c>
    </row>
    <row r="104" customFormat="false" ht="15" hidden="false" customHeight="false" outlineLevel="0" collapsed="false">
      <c r="A104" s="10" t="n">
        <v>99</v>
      </c>
      <c r="B104" s="10" t="s">
        <v>21</v>
      </c>
      <c r="C104" s="8" t="s">
        <v>708</v>
      </c>
      <c r="D104" s="10" t="str">
        <f aca="false">IF(C104="","",IFERROR(INDEX(NIVEL!$B:$B,MATCH(C104,NIVEL!$A:$A,0)),"¡Código no existe!"))</f>
        <v>Tubería A.C. Sche 10 De ø2"</v>
      </c>
      <c r="E104" s="10" t="str">
        <f aca="false">IF(C104="","",IFERROR(INDEX(NIVEL!$C:$C,MATCH(C104,NIVEL!$A:$A,0)),""))</f>
        <v>Ml.</v>
      </c>
      <c r="F104" s="10" t="s">
        <v>987</v>
      </c>
      <c r="G104" s="10" t="n">
        <f aca="false">IFERROR(MATCH(F104,LISTAS!$D$2:$D$22,0),99)</f>
        <v>1</v>
      </c>
      <c r="H104" s="13" t="n">
        <v>3.45</v>
      </c>
      <c r="I104" s="10" t="s">
        <v>1060</v>
      </c>
      <c r="J104" s="10"/>
      <c r="K104" s="10" t="s">
        <v>1063</v>
      </c>
      <c r="L104" s="10"/>
      <c r="M104" s="10" t="str">
        <f aca="false">IF(C104="","SIN ASIGNAR","ASIGNADO")</f>
        <v>ASIGNADO</v>
      </c>
      <c r="N104" s="10" t="s">
        <v>995</v>
      </c>
    </row>
    <row r="105" customFormat="false" ht="15" hidden="false" customHeight="false" outlineLevel="0" collapsed="false">
      <c r="A105" s="10" t="n">
        <v>100</v>
      </c>
      <c r="B105" s="10" t="s">
        <v>21</v>
      </c>
      <c r="C105" s="8" t="s">
        <v>714</v>
      </c>
      <c r="D105" s="10" t="str">
        <f aca="false">IF(C105="","",IFERROR(INDEX(NIVEL!$B:$B,MATCH(C105,NIVEL!$A:$A,0)),"¡Código no existe!"))</f>
        <v>Tubería A.C. Sche 10 De ø4"</v>
      </c>
      <c r="E105" s="10" t="str">
        <f aca="false">IF(C105="","",IFERROR(INDEX(NIVEL!$C:$C,MATCH(C105,NIVEL!$A:$A,0)),""))</f>
        <v>Ml.</v>
      </c>
      <c r="F105" s="10" t="s">
        <v>987</v>
      </c>
      <c r="G105" s="10" t="n">
        <f aca="false">IFERROR(MATCH(F105,LISTAS!$D$2:$D$22,0),99)</f>
        <v>1</v>
      </c>
      <c r="H105" s="13" t="n">
        <v>0.95</v>
      </c>
      <c r="I105" s="10" t="s">
        <v>1060</v>
      </c>
      <c r="J105" s="10"/>
      <c r="K105" s="10" t="s">
        <v>1064</v>
      </c>
      <c r="L105" s="10"/>
      <c r="M105" s="10" t="str">
        <f aca="false">IF(C105="","SIN ASIGNAR","ASIGNADO")</f>
        <v>ASIGNADO</v>
      </c>
      <c r="N105" s="10" t="s">
        <v>991</v>
      </c>
    </row>
    <row r="106" customFormat="false" ht="15" hidden="false" customHeight="false" outlineLevel="0" collapsed="false">
      <c r="A106" s="10" t="n">
        <v>101</v>
      </c>
      <c r="B106" s="10" t="s">
        <v>21</v>
      </c>
      <c r="C106" s="8" t="s">
        <v>716</v>
      </c>
      <c r="D106" s="10" t="str">
        <f aca="false">IF(C106="","",IFERROR(INDEX(NIVEL!$B:$B,MATCH(C106,NIVEL!$A:$A,0)),"¡Código no existe!"))</f>
        <v>Tubería A.C. Sche 10 De ø6"</v>
      </c>
      <c r="E106" s="10" t="str">
        <f aca="false">IF(C106="","",IFERROR(INDEX(NIVEL!$C:$C,MATCH(C106,NIVEL!$A:$A,0)),""))</f>
        <v>Ml.</v>
      </c>
      <c r="F106" s="10" t="s">
        <v>987</v>
      </c>
      <c r="G106" s="10" t="n">
        <f aca="false">IFERROR(MATCH(F106,LISTAS!$D$2:$D$22,0),99)</f>
        <v>1</v>
      </c>
      <c r="H106" s="13" t="n">
        <v>73.21</v>
      </c>
      <c r="I106" s="10" t="s">
        <v>1060</v>
      </c>
      <c r="J106" s="10"/>
      <c r="K106" s="10" t="s">
        <v>998</v>
      </c>
      <c r="L106" s="10"/>
      <c r="M106" s="10" t="str">
        <f aca="false">IF(C106="","SIN ASIGNAR","ASIGNADO")</f>
        <v>ASIGNADO</v>
      </c>
      <c r="N106" s="10" t="s">
        <v>991</v>
      </c>
    </row>
    <row r="107" customFormat="false" ht="15" hidden="false" customHeight="false" outlineLevel="0" collapsed="false">
      <c r="A107" s="10" t="n">
        <v>102</v>
      </c>
      <c r="B107" s="10" t="s">
        <v>21</v>
      </c>
      <c r="C107" s="8" t="s">
        <v>11</v>
      </c>
      <c r="D107" s="10" t="str">
        <f aca="false">IF(C107="","",IFERROR(INDEX(NIVEL!$B:$B,MATCH(C107,NIVEL!$A:$A,0)),"¡Código no existe!"))</f>
        <v>Tubería A.C. Sche 10 De ø1 1/2"</v>
      </c>
      <c r="E107" s="10" t="str">
        <f aca="false">IF(C107="","",IFERROR(INDEX(NIVEL!$C:$C,MATCH(C107,NIVEL!$A:$A,0)),""))</f>
        <v>Ml.</v>
      </c>
      <c r="F107" s="10" t="s">
        <v>1031</v>
      </c>
      <c r="G107" s="10" t="n">
        <f aca="false">IFERROR(MATCH(F107,LISTAS!$D$2:$D$22,0),99)</f>
        <v>2</v>
      </c>
      <c r="H107" s="13" t="n">
        <v>31.02</v>
      </c>
      <c r="I107" s="10" t="s">
        <v>1060</v>
      </c>
      <c r="J107" s="10"/>
      <c r="K107" s="10" t="s">
        <v>1061</v>
      </c>
      <c r="L107" s="10"/>
      <c r="M107" s="10" t="str">
        <f aca="false">IF(C107="","SIN ASIGNAR","ASIGNADO")</f>
        <v>ASIGNADO</v>
      </c>
      <c r="N107" s="10" t="s">
        <v>991</v>
      </c>
    </row>
    <row r="108" customFormat="false" ht="15" hidden="false" customHeight="false" outlineLevel="0" collapsed="false">
      <c r="A108" s="10" t="n">
        <v>103</v>
      </c>
      <c r="B108" s="10" t="s">
        <v>21</v>
      </c>
      <c r="C108" s="8" t="s">
        <v>11</v>
      </c>
      <c r="D108" s="10" t="str">
        <f aca="false">IF(C108="","",IFERROR(INDEX(NIVEL!$B:$B,MATCH(C108,NIVEL!$A:$A,0)),"¡Código no existe!"))</f>
        <v>Tubería A.C. Sche 10 De ø1 1/2"</v>
      </c>
      <c r="E108" s="10" t="str">
        <f aca="false">IF(C108="","",IFERROR(INDEX(NIVEL!$C:$C,MATCH(C108,NIVEL!$A:$A,0)),""))</f>
        <v>Ml.</v>
      </c>
      <c r="F108" s="10" t="s">
        <v>1031</v>
      </c>
      <c r="G108" s="10" t="n">
        <f aca="false">IFERROR(MATCH(F108,LISTAS!$D$2:$D$22,0),99)</f>
        <v>2</v>
      </c>
      <c r="H108" s="13" t="n">
        <v>0.34</v>
      </c>
      <c r="I108" s="10" t="s">
        <v>1062</v>
      </c>
      <c r="J108" s="10"/>
      <c r="K108" s="10" t="s">
        <v>1061</v>
      </c>
      <c r="L108" s="10"/>
      <c r="M108" s="10" t="str">
        <f aca="false">IF(C108="","SIN ASIGNAR","ASIGNADO")</f>
        <v>ASIGNADO</v>
      </c>
      <c r="N108" s="10" t="s">
        <v>995</v>
      </c>
    </row>
    <row r="109" customFormat="false" ht="15" hidden="false" customHeight="false" outlineLevel="0" collapsed="false">
      <c r="A109" s="10" t="n">
        <v>104</v>
      </c>
      <c r="B109" s="10" t="s">
        <v>21</v>
      </c>
      <c r="C109" s="8" t="s">
        <v>703</v>
      </c>
      <c r="D109" s="10" t="str">
        <f aca="false">IF(C109="","",IFERROR(INDEX(NIVEL!$B:$B,MATCH(C109,NIVEL!$A:$A,0)),"¡Código no existe!"))</f>
        <v>Tubería A.C. Sche 10 De ø1"</v>
      </c>
      <c r="E109" s="10" t="str">
        <f aca="false">IF(C109="","",IFERROR(INDEX(NIVEL!$C:$C,MATCH(C109,NIVEL!$A:$A,0)),""))</f>
        <v>Ml.</v>
      </c>
      <c r="F109" s="10" t="s">
        <v>1031</v>
      </c>
      <c r="G109" s="10" t="n">
        <f aca="false">IFERROR(MATCH(F109,LISTAS!$D$2:$D$22,0),99)</f>
        <v>2</v>
      </c>
      <c r="H109" s="13" t="n">
        <v>0.94</v>
      </c>
      <c r="I109" s="10" t="s">
        <v>1060</v>
      </c>
      <c r="J109" s="10"/>
      <c r="K109" s="10" t="s">
        <v>1025</v>
      </c>
      <c r="L109" s="10"/>
      <c r="M109" s="10" t="str">
        <f aca="false">IF(C109="","SIN ASIGNAR","ASIGNADO")</f>
        <v>ASIGNADO</v>
      </c>
      <c r="N109" s="10" t="s">
        <v>991</v>
      </c>
    </row>
    <row r="110" customFormat="false" ht="15" hidden="false" customHeight="false" outlineLevel="0" collapsed="false">
      <c r="A110" s="10" t="n">
        <v>105</v>
      </c>
      <c r="B110" s="10" t="s">
        <v>21</v>
      </c>
      <c r="C110" s="8" t="s">
        <v>712</v>
      </c>
      <c r="D110" s="10" t="str">
        <f aca="false">IF(C110="","",IFERROR(INDEX(NIVEL!$B:$B,MATCH(C110,NIVEL!$A:$A,0)),"¡Código no existe!"))</f>
        <v>Tubería A.C. Sche 10 De ø3"</v>
      </c>
      <c r="E110" s="10" t="str">
        <f aca="false">IF(C110="","",IFERROR(INDEX(NIVEL!$C:$C,MATCH(C110,NIVEL!$A:$A,0)),""))</f>
        <v>Ml.</v>
      </c>
      <c r="F110" s="10" t="s">
        <v>1031</v>
      </c>
      <c r="G110" s="10" t="n">
        <f aca="false">IFERROR(MATCH(F110,LISTAS!$D$2:$D$22,0),99)</f>
        <v>2</v>
      </c>
      <c r="H110" s="13" t="n">
        <v>75.45</v>
      </c>
      <c r="I110" s="10" t="s">
        <v>1060</v>
      </c>
      <c r="J110" s="10"/>
      <c r="K110" s="10" t="s">
        <v>1065</v>
      </c>
      <c r="L110" s="10"/>
      <c r="M110" s="10" t="str">
        <f aca="false">IF(C110="","SIN ASIGNAR","ASIGNADO")</f>
        <v>ASIGNADO</v>
      </c>
      <c r="N110" s="10" t="s">
        <v>991</v>
      </c>
    </row>
    <row r="111" customFormat="false" ht="15" hidden="false" customHeight="false" outlineLevel="0" collapsed="false">
      <c r="A111" s="10" t="n">
        <v>106</v>
      </c>
      <c r="B111" s="10" t="s">
        <v>21</v>
      </c>
      <c r="C111" s="8" t="s">
        <v>716</v>
      </c>
      <c r="D111" s="10" t="str">
        <f aca="false">IF(C111="","",IFERROR(INDEX(NIVEL!$B:$B,MATCH(C111,NIVEL!$A:$A,0)),"¡Código no existe!"))</f>
        <v>Tubería A.C. Sche 10 De ø6"</v>
      </c>
      <c r="E111" s="10" t="str">
        <f aca="false">IF(C111="","",IFERROR(INDEX(NIVEL!$C:$C,MATCH(C111,NIVEL!$A:$A,0)),""))</f>
        <v>Ml.</v>
      </c>
      <c r="F111" s="10" t="s">
        <v>1031</v>
      </c>
      <c r="G111" s="10" t="n">
        <f aca="false">IFERROR(MATCH(F111,LISTAS!$D$2:$D$22,0),99)</f>
        <v>2</v>
      </c>
      <c r="H111" s="13" t="n">
        <v>0.43</v>
      </c>
      <c r="I111" s="10" t="s">
        <v>1060</v>
      </c>
      <c r="J111" s="10"/>
      <c r="K111" s="10" t="s">
        <v>998</v>
      </c>
      <c r="L111" s="10"/>
      <c r="M111" s="10" t="str">
        <f aca="false">IF(C111="","SIN ASIGNAR","ASIGNADO")</f>
        <v>ASIGNADO</v>
      </c>
      <c r="N111" s="10" t="s">
        <v>991</v>
      </c>
    </row>
    <row r="112" customFormat="false" ht="15" hidden="false" customHeight="false" outlineLevel="0" collapsed="false">
      <c r="A112" s="10" t="n">
        <v>107</v>
      </c>
      <c r="B112" s="10" t="s">
        <v>21</v>
      </c>
      <c r="C112" s="8" t="s">
        <v>11</v>
      </c>
      <c r="D112" s="10" t="str">
        <f aca="false">IF(C112="","",IFERROR(INDEX(NIVEL!$B:$B,MATCH(C112,NIVEL!$A:$A,0)),"¡Código no existe!"))</f>
        <v>Tubería A.C. Sche 10 De ø1 1/2"</v>
      </c>
      <c r="E112" s="10" t="str">
        <f aca="false">IF(C112="","",IFERROR(INDEX(NIVEL!$C:$C,MATCH(C112,NIVEL!$A:$A,0)),""))</f>
        <v>Ml.</v>
      </c>
      <c r="F112" s="10" t="s">
        <v>1008</v>
      </c>
      <c r="G112" s="10" t="n">
        <f aca="false">IFERROR(MATCH(F112,LISTAS!$D$2:$D$22,0),99)</f>
        <v>3</v>
      </c>
      <c r="H112" s="13" t="n">
        <v>161.52</v>
      </c>
      <c r="I112" s="10" t="s">
        <v>1060</v>
      </c>
      <c r="J112" s="10"/>
      <c r="K112" s="10" t="s">
        <v>1061</v>
      </c>
      <c r="L112" s="10"/>
      <c r="M112" s="10" t="str">
        <f aca="false">IF(C112="","SIN ASIGNAR","ASIGNADO")</f>
        <v>ASIGNADO</v>
      </c>
      <c r="N112" s="10" t="s">
        <v>991</v>
      </c>
    </row>
    <row r="113" customFormat="false" ht="15" hidden="false" customHeight="false" outlineLevel="0" collapsed="false">
      <c r="A113" s="10" t="n">
        <v>108</v>
      </c>
      <c r="B113" s="10" t="s">
        <v>21</v>
      </c>
      <c r="C113" s="8" t="s">
        <v>11</v>
      </c>
      <c r="D113" s="10" t="str">
        <f aca="false">IF(C113="","",IFERROR(INDEX(NIVEL!$B:$B,MATCH(C113,NIVEL!$A:$A,0)),"¡Código no existe!"))</f>
        <v>Tubería A.C. Sche 10 De ø1 1/2"</v>
      </c>
      <c r="E113" s="10" t="str">
        <f aca="false">IF(C113="","",IFERROR(INDEX(NIVEL!$C:$C,MATCH(C113,NIVEL!$A:$A,0)),""))</f>
        <v>Ml.</v>
      </c>
      <c r="F113" s="10" t="s">
        <v>1008</v>
      </c>
      <c r="G113" s="10" t="n">
        <f aca="false">IFERROR(MATCH(F113,LISTAS!$D$2:$D$22,0),99)</f>
        <v>3</v>
      </c>
      <c r="H113" s="13" t="n">
        <v>0.34</v>
      </c>
      <c r="I113" s="10" t="s">
        <v>1062</v>
      </c>
      <c r="J113" s="10"/>
      <c r="K113" s="10" t="s">
        <v>1061</v>
      </c>
      <c r="L113" s="10"/>
      <c r="M113" s="10" t="str">
        <f aca="false">IF(C113="","SIN ASIGNAR","ASIGNADO")</f>
        <v>ASIGNADO</v>
      </c>
      <c r="N113" s="10" t="s">
        <v>995</v>
      </c>
    </row>
    <row r="114" customFormat="false" ht="15" hidden="false" customHeight="false" outlineLevel="0" collapsed="false">
      <c r="A114" s="10" t="n">
        <v>109</v>
      </c>
      <c r="B114" s="10" t="s">
        <v>21</v>
      </c>
      <c r="C114" s="8" t="s">
        <v>705</v>
      </c>
      <c r="D114" s="10" t="str">
        <f aca="false">IF(C114="","",IFERROR(INDEX(NIVEL!$B:$B,MATCH(C114,NIVEL!$A:$A,0)),"¡Código no existe!"))</f>
        <v>Tubería A.C. Sche 10 De ø1 1/4"</v>
      </c>
      <c r="E114" s="10" t="str">
        <f aca="false">IF(C114="","",IFERROR(INDEX(NIVEL!$C:$C,MATCH(C114,NIVEL!$A:$A,0)),""))</f>
        <v>Ml.</v>
      </c>
      <c r="F114" s="10" t="s">
        <v>1008</v>
      </c>
      <c r="G114" s="10" t="n">
        <f aca="false">IFERROR(MATCH(F114,LISTAS!$D$2:$D$22,0),99)</f>
        <v>3</v>
      </c>
      <c r="H114" s="13" t="n">
        <v>0.22</v>
      </c>
      <c r="I114" s="10" t="s">
        <v>1060</v>
      </c>
      <c r="J114" s="10"/>
      <c r="K114" s="10" t="s">
        <v>1066</v>
      </c>
      <c r="L114" s="10"/>
      <c r="M114" s="10" t="str">
        <f aca="false">IF(C114="","SIN ASIGNAR","ASIGNADO")</f>
        <v>ASIGNADO</v>
      </c>
      <c r="N114" s="10" t="s">
        <v>995</v>
      </c>
    </row>
    <row r="115" customFormat="false" ht="15" hidden="false" customHeight="false" outlineLevel="0" collapsed="false">
      <c r="A115" s="10" t="n">
        <v>110</v>
      </c>
      <c r="B115" s="10" t="s">
        <v>21</v>
      </c>
      <c r="C115" s="8" t="s">
        <v>703</v>
      </c>
      <c r="D115" s="10" t="str">
        <f aca="false">IF(C115="","",IFERROR(INDEX(NIVEL!$B:$B,MATCH(C115,NIVEL!$A:$A,0)),"¡Código no existe!"))</f>
        <v>Tubería A.C. Sche 10 De ø1"</v>
      </c>
      <c r="E115" s="10" t="str">
        <f aca="false">IF(C115="","",IFERROR(INDEX(NIVEL!$C:$C,MATCH(C115,NIVEL!$A:$A,0)),""))</f>
        <v>Ml.</v>
      </c>
      <c r="F115" s="10" t="s">
        <v>1008</v>
      </c>
      <c r="G115" s="10" t="n">
        <f aca="false">IFERROR(MATCH(F115,LISTAS!$D$2:$D$22,0),99)</f>
        <v>3</v>
      </c>
      <c r="H115" s="13" t="n">
        <v>5.07</v>
      </c>
      <c r="I115" s="10" t="s">
        <v>1060</v>
      </c>
      <c r="J115" s="10"/>
      <c r="K115" s="10" t="s">
        <v>1025</v>
      </c>
      <c r="L115" s="10"/>
      <c r="M115" s="10" t="str">
        <f aca="false">IF(C115="","SIN ASIGNAR","ASIGNADO")</f>
        <v>ASIGNADO</v>
      </c>
      <c r="N115" s="10" t="s">
        <v>991</v>
      </c>
    </row>
    <row r="116" customFormat="false" ht="15" hidden="false" customHeight="false" outlineLevel="0" collapsed="false">
      <c r="A116" s="10" t="n">
        <v>111</v>
      </c>
      <c r="B116" s="10" t="s">
        <v>21</v>
      </c>
      <c r="C116" s="8" t="s">
        <v>710</v>
      </c>
      <c r="D116" s="10" t="str">
        <f aca="false">IF(C116="","",IFERROR(INDEX(NIVEL!$B:$B,MATCH(C116,NIVEL!$A:$A,0)),"¡Código no existe!"))</f>
        <v>Tubería A.C. Sche 10 De ø2 1/2"</v>
      </c>
      <c r="E116" s="10" t="str">
        <f aca="false">IF(C116="","",IFERROR(INDEX(NIVEL!$C:$C,MATCH(C116,NIVEL!$A:$A,0)),""))</f>
        <v>Ml.</v>
      </c>
      <c r="F116" s="10" t="s">
        <v>1008</v>
      </c>
      <c r="G116" s="10" t="n">
        <f aca="false">IFERROR(MATCH(F116,LISTAS!$D$2:$D$22,0),99)</f>
        <v>3</v>
      </c>
      <c r="H116" s="13" t="n">
        <v>3.49</v>
      </c>
      <c r="I116" s="10" t="s">
        <v>1060</v>
      </c>
      <c r="J116" s="10"/>
      <c r="K116" s="10" t="s">
        <v>1067</v>
      </c>
      <c r="L116" s="10"/>
      <c r="M116" s="10" t="str">
        <f aca="false">IF(C116="","SIN ASIGNAR","ASIGNADO")</f>
        <v>ASIGNADO</v>
      </c>
      <c r="N116" s="10" t="s">
        <v>991</v>
      </c>
    </row>
    <row r="117" customFormat="false" ht="15" hidden="false" customHeight="false" outlineLevel="0" collapsed="false">
      <c r="A117" s="10" t="n">
        <v>112</v>
      </c>
      <c r="B117" s="10" t="s">
        <v>21</v>
      </c>
      <c r="C117" s="8" t="s">
        <v>712</v>
      </c>
      <c r="D117" s="10" t="str">
        <f aca="false">IF(C117="","",IFERROR(INDEX(NIVEL!$B:$B,MATCH(C117,NIVEL!$A:$A,0)),"¡Código no existe!"))</f>
        <v>Tubería A.C. Sche 10 De ø3"</v>
      </c>
      <c r="E117" s="10" t="str">
        <f aca="false">IF(C117="","",IFERROR(INDEX(NIVEL!$C:$C,MATCH(C117,NIVEL!$A:$A,0)),""))</f>
        <v>Ml.</v>
      </c>
      <c r="F117" s="10" t="s">
        <v>1008</v>
      </c>
      <c r="G117" s="10" t="n">
        <f aca="false">IFERROR(MATCH(F117,LISTAS!$D$2:$D$22,0),99)</f>
        <v>3</v>
      </c>
      <c r="H117" s="13" t="n">
        <v>168.9</v>
      </c>
      <c r="I117" s="10" t="s">
        <v>1060</v>
      </c>
      <c r="J117" s="10"/>
      <c r="K117" s="10" t="s">
        <v>1065</v>
      </c>
      <c r="L117" s="10"/>
      <c r="M117" s="10" t="str">
        <f aca="false">IF(C117="","SIN ASIGNAR","ASIGNADO")</f>
        <v>ASIGNADO</v>
      </c>
      <c r="N117" s="10" t="s">
        <v>991</v>
      </c>
    </row>
    <row r="118" customFormat="false" ht="15" hidden="false" customHeight="false" outlineLevel="0" collapsed="false">
      <c r="A118" s="10" t="n">
        <v>113</v>
      </c>
      <c r="B118" s="10" t="s">
        <v>21</v>
      </c>
      <c r="C118" s="8" t="s">
        <v>716</v>
      </c>
      <c r="D118" s="10" t="str">
        <f aca="false">IF(C118="","",IFERROR(INDEX(NIVEL!$B:$B,MATCH(C118,NIVEL!$A:$A,0)),"¡Código no existe!"))</f>
        <v>Tubería A.C. Sche 10 De ø6"</v>
      </c>
      <c r="E118" s="10" t="str">
        <f aca="false">IF(C118="","",IFERROR(INDEX(NIVEL!$C:$C,MATCH(C118,NIVEL!$A:$A,0)),""))</f>
        <v>Ml.</v>
      </c>
      <c r="F118" s="10" t="s">
        <v>1008</v>
      </c>
      <c r="G118" s="10" t="n">
        <f aca="false">IFERROR(MATCH(F118,LISTAS!$D$2:$D$22,0),99)</f>
        <v>3</v>
      </c>
      <c r="H118" s="13" t="n">
        <v>2.63</v>
      </c>
      <c r="I118" s="10" t="s">
        <v>1060</v>
      </c>
      <c r="J118" s="10"/>
      <c r="K118" s="10" t="s">
        <v>998</v>
      </c>
      <c r="L118" s="10"/>
      <c r="M118" s="10" t="str">
        <f aca="false">IF(C118="","SIN ASIGNAR","ASIGNADO")</f>
        <v>ASIGNADO</v>
      </c>
      <c r="N118" s="10" t="s">
        <v>991</v>
      </c>
    </row>
    <row r="119" customFormat="false" ht="15" hidden="false" customHeight="false" outlineLevel="0" collapsed="false">
      <c r="A119" s="10" t="n">
        <v>114</v>
      </c>
      <c r="B119" s="10" t="s">
        <v>21</v>
      </c>
      <c r="C119" s="8" t="s">
        <v>11</v>
      </c>
      <c r="D119" s="10" t="str">
        <f aca="false">IF(C119="","",IFERROR(INDEX(NIVEL!$B:$B,MATCH(C119,NIVEL!$A:$A,0)),"¡Código no existe!"))</f>
        <v>Tubería A.C. Sche 10 De ø1 1/2"</v>
      </c>
      <c r="E119" s="10" t="str">
        <f aca="false">IF(C119="","",IFERROR(INDEX(NIVEL!$C:$C,MATCH(C119,NIVEL!$A:$A,0)),""))</f>
        <v>Ml.</v>
      </c>
      <c r="F119" s="10" t="s">
        <v>1011</v>
      </c>
      <c r="G119" s="10" t="n">
        <f aca="false">IFERROR(MATCH(F119,LISTAS!$D$2:$D$22,0),99)</f>
        <v>4</v>
      </c>
      <c r="H119" s="13" t="n">
        <v>193.54</v>
      </c>
      <c r="I119" s="10" t="s">
        <v>1060</v>
      </c>
      <c r="J119" s="10"/>
      <c r="K119" s="10" t="s">
        <v>1061</v>
      </c>
      <c r="L119" s="10"/>
      <c r="M119" s="10" t="str">
        <f aca="false">IF(C119="","SIN ASIGNAR","ASIGNADO")</f>
        <v>ASIGNADO</v>
      </c>
      <c r="N119" s="10" t="s">
        <v>991</v>
      </c>
    </row>
    <row r="120" customFormat="false" ht="15" hidden="false" customHeight="false" outlineLevel="0" collapsed="false">
      <c r="A120" s="10" t="n">
        <v>115</v>
      </c>
      <c r="B120" s="10" t="s">
        <v>21</v>
      </c>
      <c r="C120" s="8" t="s">
        <v>11</v>
      </c>
      <c r="D120" s="10" t="str">
        <f aca="false">IF(C120="","",IFERROR(INDEX(NIVEL!$B:$B,MATCH(C120,NIVEL!$A:$A,0)),"¡Código no existe!"))</f>
        <v>Tubería A.C. Sche 10 De ø1 1/2"</v>
      </c>
      <c r="E120" s="10" t="str">
        <f aca="false">IF(C120="","",IFERROR(INDEX(NIVEL!$C:$C,MATCH(C120,NIVEL!$A:$A,0)),""))</f>
        <v>Ml.</v>
      </c>
      <c r="F120" s="10" t="s">
        <v>1011</v>
      </c>
      <c r="G120" s="10" t="n">
        <f aca="false">IFERROR(MATCH(F120,LISTAS!$D$2:$D$22,0),99)</f>
        <v>4</v>
      </c>
      <c r="H120" s="13" t="n">
        <v>0.34</v>
      </c>
      <c r="I120" s="10" t="s">
        <v>1062</v>
      </c>
      <c r="J120" s="10"/>
      <c r="K120" s="10" t="s">
        <v>1061</v>
      </c>
      <c r="L120" s="10"/>
      <c r="M120" s="10" t="str">
        <f aca="false">IF(C120="","SIN ASIGNAR","ASIGNADO")</f>
        <v>ASIGNADO</v>
      </c>
      <c r="N120" s="10" t="s">
        <v>995</v>
      </c>
    </row>
    <row r="121" customFormat="false" ht="15" hidden="false" customHeight="false" outlineLevel="0" collapsed="false">
      <c r="A121" s="10" t="n">
        <v>116</v>
      </c>
      <c r="B121" s="10" t="s">
        <v>21</v>
      </c>
      <c r="C121" s="8" t="s">
        <v>705</v>
      </c>
      <c r="D121" s="10" t="str">
        <f aca="false">IF(C121="","",IFERROR(INDEX(NIVEL!$B:$B,MATCH(C121,NIVEL!$A:$A,0)),"¡Código no existe!"))</f>
        <v>Tubería A.C. Sche 10 De ø1 1/4"</v>
      </c>
      <c r="E121" s="10" t="str">
        <f aca="false">IF(C121="","",IFERROR(INDEX(NIVEL!$C:$C,MATCH(C121,NIVEL!$A:$A,0)),""))</f>
        <v>Ml.</v>
      </c>
      <c r="F121" s="10" t="s">
        <v>1011</v>
      </c>
      <c r="G121" s="10" t="n">
        <f aca="false">IFERROR(MATCH(F121,LISTAS!$D$2:$D$22,0),99)</f>
        <v>4</v>
      </c>
      <c r="H121" s="13" t="n">
        <v>0.22</v>
      </c>
      <c r="I121" s="10" t="s">
        <v>1060</v>
      </c>
      <c r="J121" s="10"/>
      <c r="K121" s="10" t="s">
        <v>1066</v>
      </c>
      <c r="L121" s="10"/>
      <c r="M121" s="10" t="str">
        <f aca="false">IF(C121="","SIN ASIGNAR","ASIGNADO")</f>
        <v>ASIGNADO</v>
      </c>
      <c r="N121" s="10" t="s">
        <v>995</v>
      </c>
    </row>
    <row r="122" customFormat="false" ht="15" hidden="false" customHeight="false" outlineLevel="0" collapsed="false">
      <c r="A122" s="10" t="n">
        <v>117</v>
      </c>
      <c r="B122" s="10" t="s">
        <v>21</v>
      </c>
      <c r="C122" s="8" t="s">
        <v>703</v>
      </c>
      <c r="D122" s="10" t="str">
        <f aca="false">IF(C122="","",IFERROR(INDEX(NIVEL!$B:$B,MATCH(C122,NIVEL!$A:$A,0)),"¡Código no existe!"))</f>
        <v>Tubería A.C. Sche 10 De ø1"</v>
      </c>
      <c r="E122" s="10" t="str">
        <f aca="false">IF(C122="","",IFERROR(INDEX(NIVEL!$C:$C,MATCH(C122,NIVEL!$A:$A,0)),""))</f>
        <v>Ml.</v>
      </c>
      <c r="F122" s="10" t="s">
        <v>1011</v>
      </c>
      <c r="G122" s="10" t="n">
        <f aca="false">IFERROR(MATCH(F122,LISTAS!$D$2:$D$22,0),99)</f>
        <v>4</v>
      </c>
      <c r="H122" s="13" t="n">
        <v>11.49</v>
      </c>
      <c r="I122" s="10" t="s">
        <v>1060</v>
      </c>
      <c r="J122" s="10"/>
      <c r="K122" s="10" t="s">
        <v>1025</v>
      </c>
      <c r="L122" s="10"/>
      <c r="M122" s="10" t="str">
        <f aca="false">IF(C122="","SIN ASIGNAR","ASIGNADO")</f>
        <v>ASIGNADO</v>
      </c>
      <c r="N122" s="10" t="s">
        <v>991</v>
      </c>
    </row>
    <row r="123" customFormat="false" ht="15" hidden="false" customHeight="false" outlineLevel="0" collapsed="false">
      <c r="A123" s="10" t="n">
        <v>118</v>
      </c>
      <c r="B123" s="10" t="s">
        <v>21</v>
      </c>
      <c r="C123" s="8" t="s">
        <v>710</v>
      </c>
      <c r="D123" s="10" t="str">
        <f aca="false">IF(C123="","",IFERROR(INDEX(NIVEL!$B:$B,MATCH(C123,NIVEL!$A:$A,0)),"¡Código no existe!"))</f>
        <v>Tubería A.C. Sche 10 De ø2 1/2"</v>
      </c>
      <c r="E123" s="10" t="str">
        <f aca="false">IF(C123="","",IFERROR(INDEX(NIVEL!$C:$C,MATCH(C123,NIVEL!$A:$A,0)),""))</f>
        <v>Ml.</v>
      </c>
      <c r="F123" s="10" t="s">
        <v>1011</v>
      </c>
      <c r="G123" s="10" t="n">
        <f aca="false">IFERROR(MATCH(F123,LISTAS!$D$2:$D$22,0),99)</f>
        <v>4</v>
      </c>
      <c r="H123" s="13" t="n">
        <v>3.5</v>
      </c>
      <c r="I123" s="10" t="s">
        <v>1060</v>
      </c>
      <c r="J123" s="10"/>
      <c r="K123" s="10" t="s">
        <v>1067</v>
      </c>
      <c r="L123" s="10"/>
      <c r="M123" s="10" t="str">
        <f aca="false">IF(C123="","SIN ASIGNAR","ASIGNADO")</f>
        <v>ASIGNADO</v>
      </c>
      <c r="N123" s="10" t="s">
        <v>991</v>
      </c>
    </row>
    <row r="124" customFormat="false" ht="15" hidden="false" customHeight="false" outlineLevel="0" collapsed="false">
      <c r="A124" s="10" t="n">
        <v>119</v>
      </c>
      <c r="B124" s="10" t="s">
        <v>21</v>
      </c>
      <c r="C124" s="8" t="s">
        <v>712</v>
      </c>
      <c r="D124" s="10" t="str">
        <f aca="false">IF(C124="","",IFERROR(INDEX(NIVEL!$B:$B,MATCH(C124,NIVEL!$A:$A,0)),"¡Código no existe!"))</f>
        <v>Tubería A.C. Sche 10 De ø3"</v>
      </c>
      <c r="E124" s="10" t="str">
        <f aca="false">IF(C124="","",IFERROR(INDEX(NIVEL!$C:$C,MATCH(C124,NIVEL!$A:$A,0)),""))</f>
        <v>Ml.</v>
      </c>
      <c r="F124" s="10" t="s">
        <v>1011</v>
      </c>
      <c r="G124" s="10" t="n">
        <f aca="false">IFERROR(MATCH(F124,LISTAS!$D$2:$D$22,0),99)</f>
        <v>4</v>
      </c>
      <c r="H124" s="13" t="n">
        <v>136.59</v>
      </c>
      <c r="I124" s="10" t="s">
        <v>1060</v>
      </c>
      <c r="J124" s="10"/>
      <c r="K124" s="10" t="s">
        <v>1065</v>
      </c>
      <c r="L124" s="10"/>
      <c r="M124" s="10" t="str">
        <f aca="false">IF(C124="","SIN ASIGNAR","ASIGNADO")</f>
        <v>ASIGNADO</v>
      </c>
      <c r="N124" s="10" t="s">
        <v>991</v>
      </c>
    </row>
    <row r="125" customFormat="false" ht="15" hidden="false" customHeight="false" outlineLevel="0" collapsed="false">
      <c r="A125" s="10" t="n">
        <v>120</v>
      </c>
      <c r="B125" s="10" t="s">
        <v>21</v>
      </c>
      <c r="C125" s="8" t="s">
        <v>716</v>
      </c>
      <c r="D125" s="10" t="str">
        <f aca="false">IF(C125="","",IFERROR(INDEX(NIVEL!$B:$B,MATCH(C125,NIVEL!$A:$A,0)),"¡Código no existe!"))</f>
        <v>Tubería A.C. Sche 10 De ø6"</v>
      </c>
      <c r="E125" s="10" t="str">
        <f aca="false">IF(C125="","",IFERROR(INDEX(NIVEL!$C:$C,MATCH(C125,NIVEL!$A:$A,0)),""))</f>
        <v>Ml.</v>
      </c>
      <c r="F125" s="10" t="s">
        <v>1011</v>
      </c>
      <c r="G125" s="10" t="n">
        <f aca="false">IFERROR(MATCH(F125,LISTAS!$D$2:$D$22,0),99)</f>
        <v>4</v>
      </c>
      <c r="H125" s="13" t="n">
        <v>6.07</v>
      </c>
      <c r="I125" s="10" t="s">
        <v>1060</v>
      </c>
      <c r="J125" s="10"/>
      <c r="K125" s="10" t="s">
        <v>998</v>
      </c>
      <c r="L125" s="10"/>
      <c r="M125" s="10" t="str">
        <f aca="false">IF(C125="","SIN ASIGNAR","ASIGNADO")</f>
        <v>ASIGNADO</v>
      </c>
      <c r="N125" s="10" t="s">
        <v>991</v>
      </c>
    </row>
    <row r="126" customFormat="false" ht="15" hidden="false" customHeight="false" outlineLevel="0" collapsed="false">
      <c r="A126" s="10" t="n">
        <v>121</v>
      </c>
      <c r="B126" s="10" t="s">
        <v>21</v>
      </c>
      <c r="C126" s="8" t="s">
        <v>11</v>
      </c>
      <c r="D126" s="10" t="str">
        <f aca="false">IF(C126="","",IFERROR(INDEX(NIVEL!$B:$B,MATCH(C126,NIVEL!$A:$A,0)),"¡Código no existe!"))</f>
        <v>Tubería A.C. Sche 10 De ø1 1/2"</v>
      </c>
      <c r="E126" s="10" t="str">
        <f aca="false">IF(C126="","",IFERROR(INDEX(NIVEL!$C:$C,MATCH(C126,NIVEL!$A:$A,0)),""))</f>
        <v>Ml.</v>
      </c>
      <c r="F126" s="10" t="s">
        <v>1012</v>
      </c>
      <c r="G126" s="10" t="n">
        <f aca="false">IFERROR(MATCH(F126,LISTAS!$D$2:$D$22,0),99)</f>
        <v>5</v>
      </c>
      <c r="H126" s="13" t="n">
        <v>160.59</v>
      </c>
      <c r="I126" s="10" t="s">
        <v>1060</v>
      </c>
      <c r="J126" s="10"/>
      <c r="K126" s="10" t="s">
        <v>1061</v>
      </c>
      <c r="L126" s="10"/>
      <c r="M126" s="10" t="str">
        <f aca="false">IF(C126="","SIN ASIGNAR","ASIGNADO")</f>
        <v>ASIGNADO</v>
      </c>
      <c r="N126" s="10" t="s">
        <v>991</v>
      </c>
    </row>
    <row r="127" customFormat="false" ht="15" hidden="false" customHeight="false" outlineLevel="0" collapsed="false">
      <c r="A127" s="10" t="n">
        <v>122</v>
      </c>
      <c r="B127" s="10" t="s">
        <v>21</v>
      </c>
      <c r="C127" s="8" t="s">
        <v>11</v>
      </c>
      <c r="D127" s="10" t="str">
        <f aca="false">IF(C127="","",IFERROR(INDEX(NIVEL!$B:$B,MATCH(C127,NIVEL!$A:$A,0)),"¡Código no existe!"))</f>
        <v>Tubería A.C. Sche 10 De ø1 1/2"</v>
      </c>
      <c r="E127" s="10" t="str">
        <f aca="false">IF(C127="","",IFERROR(INDEX(NIVEL!$C:$C,MATCH(C127,NIVEL!$A:$A,0)),""))</f>
        <v>Ml.</v>
      </c>
      <c r="F127" s="10" t="s">
        <v>1012</v>
      </c>
      <c r="G127" s="10" t="n">
        <f aca="false">IFERROR(MATCH(F127,LISTAS!$D$2:$D$22,0),99)</f>
        <v>5</v>
      </c>
      <c r="H127" s="13" t="n">
        <v>0.34</v>
      </c>
      <c r="I127" s="10" t="s">
        <v>1062</v>
      </c>
      <c r="J127" s="10"/>
      <c r="K127" s="10" t="s">
        <v>1061</v>
      </c>
      <c r="L127" s="10"/>
      <c r="M127" s="10" t="str">
        <f aca="false">IF(C127="","SIN ASIGNAR","ASIGNADO")</f>
        <v>ASIGNADO</v>
      </c>
      <c r="N127" s="10" t="s">
        <v>995</v>
      </c>
    </row>
    <row r="128" customFormat="false" ht="15" hidden="false" customHeight="false" outlineLevel="0" collapsed="false">
      <c r="A128" s="10" t="n">
        <v>123</v>
      </c>
      <c r="B128" s="10" t="s">
        <v>21</v>
      </c>
      <c r="C128" s="8" t="s">
        <v>705</v>
      </c>
      <c r="D128" s="10" t="str">
        <f aca="false">IF(C128="","",IFERROR(INDEX(NIVEL!$B:$B,MATCH(C128,NIVEL!$A:$A,0)),"¡Código no existe!"))</f>
        <v>Tubería A.C. Sche 10 De ø1 1/4"</v>
      </c>
      <c r="E128" s="10" t="str">
        <f aca="false">IF(C128="","",IFERROR(INDEX(NIVEL!$C:$C,MATCH(C128,NIVEL!$A:$A,0)),""))</f>
        <v>Ml.</v>
      </c>
      <c r="F128" s="10" t="s">
        <v>1012</v>
      </c>
      <c r="G128" s="10" t="n">
        <f aca="false">IFERROR(MATCH(F128,LISTAS!$D$2:$D$22,0),99)</f>
        <v>5</v>
      </c>
      <c r="H128" s="13" t="n">
        <v>0.22</v>
      </c>
      <c r="I128" s="10" t="s">
        <v>1060</v>
      </c>
      <c r="J128" s="10"/>
      <c r="K128" s="10" t="s">
        <v>1066</v>
      </c>
      <c r="L128" s="10"/>
      <c r="M128" s="10" t="str">
        <f aca="false">IF(C128="","SIN ASIGNAR","ASIGNADO")</f>
        <v>ASIGNADO</v>
      </c>
      <c r="N128" s="10" t="s">
        <v>995</v>
      </c>
    </row>
    <row r="129" customFormat="false" ht="15" hidden="false" customHeight="false" outlineLevel="0" collapsed="false">
      <c r="A129" s="10" t="n">
        <v>124</v>
      </c>
      <c r="B129" s="10" t="s">
        <v>21</v>
      </c>
      <c r="C129" s="8" t="s">
        <v>703</v>
      </c>
      <c r="D129" s="10" t="str">
        <f aca="false">IF(C129="","",IFERROR(INDEX(NIVEL!$B:$B,MATCH(C129,NIVEL!$A:$A,0)),"¡Código no existe!"))</f>
        <v>Tubería A.C. Sche 10 De ø1"</v>
      </c>
      <c r="E129" s="10" t="str">
        <f aca="false">IF(C129="","",IFERROR(INDEX(NIVEL!$C:$C,MATCH(C129,NIVEL!$A:$A,0)),""))</f>
        <v>Ml.</v>
      </c>
      <c r="F129" s="10" t="s">
        <v>1012</v>
      </c>
      <c r="G129" s="10" t="n">
        <f aca="false">IFERROR(MATCH(F129,LISTAS!$D$2:$D$22,0),99)</f>
        <v>5</v>
      </c>
      <c r="H129" s="13" t="n">
        <v>6.64</v>
      </c>
      <c r="I129" s="10" t="s">
        <v>1060</v>
      </c>
      <c r="J129" s="10"/>
      <c r="K129" s="10" t="s">
        <v>1025</v>
      </c>
      <c r="L129" s="10"/>
      <c r="M129" s="10" t="str">
        <f aca="false">IF(C129="","SIN ASIGNAR","ASIGNADO")</f>
        <v>ASIGNADO</v>
      </c>
      <c r="N129" s="10" t="s">
        <v>991</v>
      </c>
    </row>
    <row r="130" customFormat="false" ht="15" hidden="false" customHeight="false" outlineLevel="0" collapsed="false">
      <c r="A130" s="10" t="n">
        <v>125</v>
      </c>
      <c r="B130" s="10" t="s">
        <v>21</v>
      </c>
      <c r="C130" s="8" t="s">
        <v>710</v>
      </c>
      <c r="D130" s="10" t="str">
        <f aca="false">IF(C130="","",IFERROR(INDEX(NIVEL!$B:$B,MATCH(C130,NIVEL!$A:$A,0)),"¡Código no existe!"))</f>
        <v>Tubería A.C. Sche 10 De ø2 1/2"</v>
      </c>
      <c r="E130" s="10" t="str">
        <f aca="false">IF(C130="","",IFERROR(INDEX(NIVEL!$C:$C,MATCH(C130,NIVEL!$A:$A,0)),""))</f>
        <v>Ml.</v>
      </c>
      <c r="F130" s="10" t="s">
        <v>1012</v>
      </c>
      <c r="G130" s="10" t="n">
        <f aca="false">IFERROR(MATCH(F130,LISTAS!$D$2:$D$22,0),99)</f>
        <v>5</v>
      </c>
      <c r="H130" s="13" t="n">
        <v>3.49</v>
      </c>
      <c r="I130" s="10" t="s">
        <v>1060</v>
      </c>
      <c r="J130" s="10"/>
      <c r="K130" s="10" t="s">
        <v>1067</v>
      </c>
      <c r="L130" s="10"/>
      <c r="M130" s="10" t="str">
        <f aca="false">IF(C130="","SIN ASIGNAR","ASIGNADO")</f>
        <v>ASIGNADO</v>
      </c>
      <c r="N130" s="10" t="s">
        <v>991</v>
      </c>
    </row>
    <row r="131" customFormat="false" ht="15" hidden="false" customHeight="false" outlineLevel="0" collapsed="false">
      <c r="A131" s="10" t="n">
        <v>126</v>
      </c>
      <c r="B131" s="10" t="s">
        <v>21</v>
      </c>
      <c r="C131" s="8" t="s">
        <v>712</v>
      </c>
      <c r="D131" s="10" t="str">
        <f aca="false">IF(C131="","",IFERROR(INDEX(NIVEL!$B:$B,MATCH(C131,NIVEL!$A:$A,0)),"¡Código no existe!"))</f>
        <v>Tubería A.C. Sche 10 De ø3"</v>
      </c>
      <c r="E131" s="10" t="str">
        <f aca="false">IF(C131="","",IFERROR(INDEX(NIVEL!$C:$C,MATCH(C131,NIVEL!$A:$A,0)),""))</f>
        <v>Ml.</v>
      </c>
      <c r="F131" s="10" t="s">
        <v>1012</v>
      </c>
      <c r="G131" s="10" t="n">
        <f aca="false">IFERROR(MATCH(F131,LISTAS!$D$2:$D$22,0),99)</f>
        <v>5</v>
      </c>
      <c r="H131" s="13" t="n">
        <v>100.58</v>
      </c>
      <c r="I131" s="10" t="s">
        <v>1060</v>
      </c>
      <c r="J131" s="10"/>
      <c r="K131" s="10" t="s">
        <v>1065</v>
      </c>
      <c r="L131" s="10"/>
      <c r="M131" s="10" t="str">
        <f aca="false">IF(C131="","SIN ASIGNAR","ASIGNADO")</f>
        <v>ASIGNADO</v>
      </c>
      <c r="N131" s="10" t="s">
        <v>991</v>
      </c>
    </row>
    <row r="132" customFormat="false" ht="15" hidden="false" customHeight="false" outlineLevel="0" collapsed="false">
      <c r="A132" s="10" t="n">
        <v>127</v>
      </c>
      <c r="B132" s="10" t="s">
        <v>21</v>
      </c>
      <c r="C132" s="8" t="s">
        <v>716</v>
      </c>
      <c r="D132" s="10" t="str">
        <f aca="false">IF(C132="","",IFERROR(INDEX(NIVEL!$B:$B,MATCH(C132,NIVEL!$A:$A,0)),"¡Código no existe!"))</f>
        <v>Tubería A.C. Sche 10 De ø6"</v>
      </c>
      <c r="E132" s="10" t="str">
        <f aca="false">IF(C132="","",IFERROR(INDEX(NIVEL!$C:$C,MATCH(C132,NIVEL!$A:$A,0)),""))</f>
        <v>Ml.</v>
      </c>
      <c r="F132" s="10" t="s">
        <v>1012</v>
      </c>
      <c r="G132" s="10" t="n">
        <f aca="false">IFERROR(MATCH(F132,LISTAS!$D$2:$D$22,0),99)</f>
        <v>5</v>
      </c>
      <c r="H132" s="13" t="n">
        <v>2.9</v>
      </c>
      <c r="I132" s="10" t="s">
        <v>1060</v>
      </c>
      <c r="J132" s="10"/>
      <c r="K132" s="10" t="s">
        <v>998</v>
      </c>
      <c r="L132" s="10"/>
      <c r="M132" s="10" t="str">
        <f aca="false">IF(C132="","SIN ASIGNAR","ASIGNADO")</f>
        <v>ASIGNADO</v>
      </c>
      <c r="N132" s="10" t="s">
        <v>991</v>
      </c>
    </row>
    <row r="133" customFormat="false" ht="15" hidden="false" customHeight="false" outlineLevel="0" collapsed="false">
      <c r="A133" s="10" t="n">
        <v>128</v>
      </c>
      <c r="B133" s="10" t="s">
        <v>21</v>
      </c>
      <c r="C133" s="8" t="s">
        <v>11</v>
      </c>
      <c r="D133" s="10" t="str">
        <f aca="false">IF(C133="","",IFERROR(INDEX(NIVEL!$B:$B,MATCH(C133,NIVEL!$A:$A,0)),"¡Código no existe!"))</f>
        <v>Tubería A.C. Sche 10 De ø1 1/2"</v>
      </c>
      <c r="E133" s="10" t="str">
        <f aca="false">IF(C133="","",IFERROR(INDEX(NIVEL!$C:$C,MATCH(C133,NIVEL!$A:$A,0)),""))</f>
        <v>Ml.</v>
      </c>
      <c r="F133" s="10" t="s">
        <v>1013</v>
      </c>
      <c r="G133" s="10" t="n">
        <f aca="false">IFERROR(MATCH(F133,LISTAS!$D$2:$D$22,0),99)</f>
        <v>6</v>
      </c>
      <c r="H133" s="13" t="n">
        <v>58.84</v>
      </c>
      <c r="I133" s="10" t="s">
        <v>1060</v>
      </c>
      <c r="J133" s="10"/>
      <c r="K133" s="10" t="s">
        <v>1061</v>
      </c>
      <c r="L133" s="10"/>
      <c r="M133" s="10" t="str">
        <f aca="false">IF(C133="","SIN ASIGNAR","ASIGNADO")</f>
        <v>ASIGNADO</v>
      </c>
      <c r="N133" s="10" t="s">
        <v>991</v>
      </c>
    </row>
    <row r="134" customFormat="false" ht="15" hidden="false" customHeight="false" outlineLevel="0" collapsed="false">
      <c r="A134" s="10" t="n">
        <v>129</v>
      </c>
      <c r="B134" s="10" t="s">
        <v>21</v>
      </c>
      <c r="C134" s="8" t="s">
        <v>11</v>
      </c>
      <c r="D134" s="10" t="str">
        <f aca="false">IF(C134="","",IFERROR(INDEX(NIVEL!$B:$B,MATCH(C134,NIVEL!$A:$A,0)),"¡Código no existe!"))</f>
        <v>Tubería A.C. Sche 10 De ø1 1/2"</v>
      </c>
      <c r="E134" s="10" t="str">
        <f aca="false">IF(C134="","",IFERROR(INDEX(NIVEL!$C:$C,MATCH(C134,NIVEL!$A:$A,0)),""))</f>
        <v>Ml.</v>
      </c>
      <c r="F134" s="10" t="s">
        <v>1013</v>
      </c>
      <c r="G134" s="10" t="n">
        <f aca="false">IFERROR(MATCH(F134,LISTAS!$D$2:$D$22,0),99)</f>
        <v>6</v>
      </c>
      <c r="H134" s="13" t="n">
        <v>0.67</v>
      </c>
      <c r="I134" s="10" t="s">
        <v>1062</v>
      </c>
      <c r="J134" s="10"/>
      <c r="K134" s="10" t="s">
        <v>1061</v>
      </c>
      <c r="L134" s="10"/>
      <c r="M134" s="10" t="str">
        <f aca="false">IF(C134="","SIN ASIGNAR","ASIGNADO")</f>
        <v>ASIGNADO</v>
      </c>
      <c r="N134" s="10" t="s">
        <v>995</v>
      </c>
    </row>
    <row r="135" customFormat="false" ht="15" hidden="false" customHeight="false" outlineLevel="0" collapsed="false">
      <c r="A135" s="10" t="n">
        <v>130</v>
      </c>
      <c r="B135" s="10" t="s">
        <v>21</v>
      </c>
      <c r="C135" s="8" t="s">
        <v>705</v>
      </c>
      <c r="D135" s="10" t="str">
        <f aca="false">IF(C135="","",IFERROR(INDEX(NIVEL!$B:$B,MATCH(C135,NIVEL!$A:$A,0)),"¡Código no existe!"))</f>
        <v>Tubería A.C. Sche 10 De ø1 1/4"</v>
      </c>
      <c r="E135" s="10" t="str">
        <f aca="false">IF(C135="","",IFERROR(INDEX(NIVEL!$C:$C,MATCH(C135,NIVEL!$A:$A,0)),""))</f>
        <v>Ml.</v>
      </c>
      <c r="F135" s="10" t="s">
        <v>1013</v>
      </c>
      <c r="G135" s="10" t="n">
        <f aca="false">IFERROR(MATCH(F135,LISTAS!$D$2:$D$22,0),99)</f>
        <v>6</v>
      </c>
      <c r="H135" s="13" t="n">
        <v>0.22</v>
      </c>
      <c r="I135" s="10" t="s">
        <v>1060</v>
      </c>
      <c r="J135" s="10"/>
      <c r="K135" s="10" t="s">
        <v>1066</v>
      </c>
      <c r="L135" s="10"/>
      <c r="M135" s="10" t="str">
        <f aca="false">IF(C135="","SIN ASIGNAR","ASIGNADO")</f>
        <v>ASIGNADO</v>
      </c>
      <c r="N135" s="10" t="s">
        <v>995</v>
      </c>
    </row>
    <row r="136" customFormat="false" ht="15" hidden="false" customHeight="false" outlineLevel="0" collapsed="false">
      <c r="A136" s="10" t="n">
        <v>131</v>
      </c>
      <c r="B136" s="10" t="s">
        <v>21</v>
      </c>
      <c r="C136" s="8" t="s">
        <v>703</v>
      </c>
      <c r="D136" s="10" t="str">
        <f aca="false">IF(C136="","",IFERROR(INDEX(NIVEL!$B:$B,MATCH(C136,NIVEL!$A:$A,0)),"¡Código no existe!"))</f>
        <v>Tubería A.C. Sche 10 De ø1"</v>
      </c>
      <c r="E136" s="10" t="str">
        <f aca="false">IF(C136="","",IFERROR(INDEX(NIVEL!$C:$C,MATCH(C136,NIVEL!$A:$A,0)),""))</f>
        <v>Ml.</v>
      </c>
      <c r="F136" s="10" t="s">
        <v>1013</v>
      </c>
      <c r="G136" s="10" t="n">
        <f aca="false">IFERROR(MATCH(F136,LISTAS!$D$2:$D$22,0),99)</f>
        <v>6</v>
      </c>
      <c r="H136" s="13" t="n">
        <v>0.41</v>
      </c>
      <c r="I136" s="10" t="s">
        <v>1060</v>
      </c>
      <c r="J136" s="10"/>
      <c r="K136" s="10" t="s">
        <v>1025</v>
      </c>
      <c r="L136" s="10"/>
      <c r="M136" s="10" t="str">
        <f aca="false">IF(C136="","SIN ASIGNAR","ASIGNADO")</f>
        <v>ASIGNADO</v>
      </c>
      <c r="N136" s="10" t="s">
        <v>991</v>
      </c>
    </row>
    <row r="137" customFormat="false" ht="15" hidden="false" customHeight="false" outlineLevel="0" collapsed="false">
      <c r="A137" s="10" t="n">
        <v>132</v>
      </c>
      <c r="B137" s="10" t="s">
        <v>21</v>
      </c>
      <c r="C137" s="8" t="s">
        <v>710</v>
      </c>
      <c r="D137" s="10" t="str">
        <f aca="false">IF(C137="","",IFERROR(INDEX(NIVEL!$B:$B,MATCH(C137,NIVEL!$A:$A,0)),"¡Código no existe!"))</f>
        <v>Tubería A.C. Sche 10 De ø2 1/2"</v>
      </c>
      <c r="E137" s="10" t="str">
        <f aca="false">IF(C137="","",IFERROR(INDEX(NIVEL!$C:$C,MATCH(C137,NIVEL!$A:$A,0)),""))</f>
        <v>Ml.</v>
      </c>
      <c r="F137" s="10" t="s">
        <v>1013</v>
      </c>
      <c r="G137" s="10" t="n">
        <f aca="false">IFERROR(MATCH(F137,LISTAS!$D$2:$D$22,0),99)</f>
        <v>6</v>
      </c>
      <c r="H137" s="13" t="n">
        <v>3.6</v>
      </c>
      <c r="I137" s="10" t="s">
        <v>1060</v>
      </c>
      <c r="J137" s="10"/>
      <c r="K137" s="10" t="s">
        <v>1067</v>
      </c>
      <c r="L137" s="10"/>
      <c r="M137" s="10" t="str">
        <f aca="false">IF(C137="","SIN ASIGNAR","ASIGNADO")</f>
        <v>ASIGNADO</v>
      </c>
      <c r="N137" s="10" t="s">
        <v>991</v>
      </c>
    </row>
    <row r="138" customFormat="false" ht="15" hidden="false" customHeight="false" outlineLevel="0" collapsed="false">
      <c r="A138" s="10" t="n">
        <v>133</v>
      </c>
      <c r="B138" s="10" t="s">
        <v>21</v>
      </c>
      <c r="C138" s="8" t="s">
        <v>712</v>
      </c>
      <c r="D138" s="10" t="str">
        <f aca="false">IF(C138="","",IFERROR(INDEX(NIVEL!$B:$B,MATCH(C138,NIVEL!$A:$A,0)),"¡Código no existe!"))</f>
        <v>Tubería A.C. Sche 10 De ø3"</v>
      </c>
      <c r="E138" s="10" t="str">
        <f aca="false">IF(C138="","",IFERROR(INDEX(NIVEL!$C:$C,MATCH(C138,NIVEL!$A:$A,0)),""))</f>
        <v>Ml.</v>
      </c>
      <c r="F138" s="10" t="s">
        <v>1013</v>
      </c>
      <c r="G138" s="10" t="n">
        <f aca="false">IFERROR(MATCH(F138,LISTAS!$D$2:$D$22,0),99)</f>
        <v>6</v>
      </c>
      <c r="H138" s="13" t="n">
        <v>85.95</v>
      </c>
      <c r="I138" s="10" t="s">
        <v>1060</v>
      </c>
      <c r="J138" s="10"/>
      <c r="K138" s="10" t="s">
        <v>1065</v>
      </c>
      <c r="L138" s="10"/>
      <c r="M138" s="10" t="str">
        <f aca="false">IF(C138="","SIN ASIGNAR","ASIGNADO")</f>
        <v>ASIGNADO</v>
      </c>
      <c r="N138" s="10" t="s">
        <v>991</v>
      </c>
    </row>
    <row r="139" customFormat="false" ht="15" hidden="false" customHeight="false" outlineLevel="0" collapsed="false">
      <c r="A139" s="10" t="n">
        <v>134</v>
      </c>
      <c r="B139" s="10" t="s">
        <v>21</v>
      </c>
      <c r="C139" s="8" t="s">
        <v>716</v>
      </c>
      <c r="D139" s="10" t="str">
        <f aca="false">IF(C139="","",IFERROR(INDEX(NIVEL!$B:$B,MATCH(C139,NIVEL!$A:$A,0)),"¡Código no existe!"))</f>
        <v>Tubería A.C. Sche 10 De ø6"</v>
      </c>
      <c r="E139" s="10" t="str">
        <f aca="false">IF(C139="","",IFERROR(INDEX(NIVEL!$C:$C,MATCH(C139,NIVEL!$A:$A,0)),""))</f>
        <v>Ml.</v>
      </c>
      <c r="F139" s="10" t="s">
        <v>1013</v>
      </c>
      <c r="G139" s="10" t="n">
        <f aca="false">IFERROR(MATCH(F139,LISTAS!$D$2:$D$22,0),99)</f>
        <v>6</v>
      </c>
      <c r="H139" s="13" t="n">
        <v>19.65</v>
      </c>
      <c r="I139" s="10" t="s">
        <v>1060</v>
      </c>
      <c r="J139" s="10"/>
      <c r="K139" s="10" t="s">
        <v>998</v>
      </c>
      <c r="L139" s="10"/>
      <c r="M139" s="10" t="str">
        <f aca="false">IF(C139="","SIN ASIGNAR","ASIGNADO")</f>
        <v>ASIGNADO</v>
      </c>
      <c r="N139" s="10" t="s">
        <v>991</v>
      </c>
    </row>
    <row r="140" customFormat="false" ht="15" hidden="false" customHeight="false" outlineLevel="0" collapsed="false">
      <c r="A140" s="10" t="n">
        <v>135</v>
      </c>
      <c r="B140" s="10" t="s">
        <v>21</v>
      </c>
      <c r="C140" s="8" t="s">
        <v>11</v>
      </c>
      <c r="D140" s="10" t="str">
        <f aca="false">IF(C140="","",IFERROR(INDEX(NIVEL!$B:$B,MATCH(C140,NIVEL!$A:$A,0)),"¡Código no existe!"))</f>
        <v>Tubería A.C. Sche 10 De ø1 1/2"</v>
      </c>
      <c r="E140" s="10" t="str">
        <f aca="false">IF(C140="","",IFERROR(INDEX(NIVEL!$C:$C,MATCH(C140,NIVEL!$A:$A,0)),""))</f>
        <v>Ml.</v>
      </c>
      <c r="F140" s="10" t="s">
        <v>1014</v>
      </c>
      <c r="G140" s="10" t="n">
        <f aca="false">IFERROR(MATCH(F140,LISTAS!$D$2:$D$22,0),99)</f>
        <v>7</v>
      </c>
      <c r="H140" s="13" t="n">
        <v>74.13</v>
      </c>
      <c r="I140" s="10" t="s">
        <v>1060</v>
      </c>
      <c r="J140" s="10"/>
      <c r="K140" s="10" t="s">
        <v>1061</v>
      </c>
      <c r="L140" s="10"/>
      <c r="M140" s="10" t="str">
        <f aca="false">IF(C140="","SIN ASIGNAR","ASIGNADO")</f>
        <v>ASIGNADO</v>
      </c>
      <c r="N140" s="10" t="s">
        <v>991</v>
      </c>
    </row>
    <row r="141" customFormat="false" ht="15" hidden="false" customHeight="false" outlineLevel="0" collapsed="false">
      <c r="A141" s="10" t="n">
        <v>136</v>
      </c>
      <c r="B141" s="10" t="s">
        <v>21</v>
      </c>
      <c r="C141" s="8" t="s">
        <v>11</v>
      </c>
      <c r="D141" s="10" t="str">
        <f aca="false">IF(C141="","",IFERROR(INDEX(NIVEL!$B:$B,MATCH(C141,NIVEL!$A:$A,0)),"¡Código no existe!"))</f>
        <v>Tubería A.C. Sche 10 De ø1 1/2"</v>
      </c>
      <c r="E141" s="10" t="str">
        <f aca="false">IF(C141="","",IFERROR(INDEX(NIVEL!$C:$C,MATCH(C141,NIVEL!$A:$A,0)),""))</f>
        <v>Ml.</v>
      </c>
      <c r="F141" s="10" t="s">
        <v>1014</v>
      </c>
      <c r="G141" s="10" t="n">
        <f aca="false">IFERROR(MATCH(F141,LISTAS!$D$2:$D$22,0),99)</f>
        <v>7</v>
      </c>
      <c r="H141" s="13" t="n">
        <v>0.67</v>
      </c>
      <c r="I141" s="10" t="s">
        <v>1062</v>
      </c>
      <c r="J141" s="10"/>
      <c r="K141" s="10" t="s">
        <v>1061</v>
      </c>
      <c r="L141" s="10"/>
      <c r="M141" s="10" t="str">
        <f aca="false">IF(C141="","SIN ASIGNAR","ASIGNADO")</f>
        <v>ASIGNADO</v>
      </c>
      <c r="N141" s="10" t="s">
        <v>995</v>
      </c>
    </row>
    <row r="142" customFormat="false" ht="15" hidden="false" customHeight="false" outlineLevel="0" collapsed="false">
      <c r="A142" s="10" t="n">
        <v>137</v>
      </c>
      <c r="B142" s="10" t="s">
        <v>21</v>
      </c>
      <c r="C142" s="8" t="s">
        <v>705</v>
      </c>
      <c r="D142" s="10" t="str">
        <f aca="false">IF(C142="","",IFERROR(INDEX(NIVEL!$B:$B,MATCH(C142,NIVEL!$A:$A,0)),"¡Código no existe!"))</f>
        <v>Tubería A.C. Sche 10 De ø1 1/4"</v>
      </c>
      <c r="E142" s="10" t="str">
        <f aca="false">IF(C142="","",IFERROR(INDEX(NIVEL!$C:$C,MATCH(C142,NIVEL!$A:$A,0)),""))</f>
        <v>Ml.</v>
      </c>
      <c r="F142" s="10" t="s">
        <v>1014</v>
      </c>
      <c r="G142" s="10" t="n">
        <f aca="false">IFERROR(MATCH(F142,LISTAS!$D$2:$D$22,0),99)</f>
        <v>7</v>
      </c>
      <c r="H142" s="13" t="n">
        <v>0.54</v>
      </c>
      <c r="I142" s="10" t="s">
        <v>1060</v>
      </c>
      <c r="J142" s="10"/>
      <c r="K142" s="10" t="s">
        <v>1066</v>
      </c>
      <c r="L142" s="10"/>
      <c r="M142" s="10" t="str">
        <f aca="false">IF(C142="","SIN ASIGNAR","ASIGNADO")</f>
        <v>ASIGNADO</v>
      </c>
      <c r="N142" s="10" t="s">
        <v>995</v>
      </c>
    </row>
    <row r="143" customFormat="false" ht="15" hidden="false" customHeight="false" outlineLevel="0" collapsed="false">
      <c r="A143" s="10" t="n">
        <v>138</v>
      </c>
      <c r="B143" s="10" t="s">
        <v>21</v>
      </c>
      <c r="C143" s="8" t="s">
        <v>703</v>
      </c>
      <c r="D143" s="10" t="str">
        <f aca="false">IF(C143="","",IFERROR(INDEX(NIVEL!$B:$B,MATCH(C143,NIVEL!$A:$A,0)),"¡Código no existe!"))</f>
        <v>Tubería A.C. Sche 10 De ø1"</v>
      </c>
      <c r="E143" s="10" t="str">
        <f aca="false">IF(C143="","",IFERROR(INDEX(NIVEL!$C:$C,MATCH(C143,NIVEL!$A:$A,0)),""))</f>
        <v>Ml.</v>
      </c>
      <c r="F143" s="10" t="s">
        <v>1014</v>
      </c>
      <c r="G143" s="10" t="n">
        <f aca="false">IFERROR(MATCH(F143,LISTAS!$D$2:$D$22,0),99)</f>
        <v>7</v>
      </c>
      <c r="H143" s="13" t="n">
        <v>12.34</v>
      </c>
      <c r="I143" s="10" t="s">
        <v>1060</v>
      </c>
      <c r="J143" s="10"/>
      <c r="K143" s="10" t="s">
        <v>1025</v>
      </c>
      <c r="L143" s="10"/>
      <c r="M143" s="10" t="str">
        <f aca="false">IF(C143="","SIN ASIGNAR","ASIGNADO")</f>
        <v>ASIGNADO</v>
      </c>
      <c r="N143" s="10" t="s">
        <v>991</v>
      </c>
    </row>
    <row r="144" customFormat="false" ht="15" hidden="false" customHeight="false" outlineLevel="0" collapsed="false">
      <c r="A144" s="10" t="n">
        <v>139</v>
      </c>
      <c r="B144" s="10" t="s">
        <v>21</v>
      </c>
      <c r="C144" s="8" t="s">
        <v>710</v>
      </c>
      <c r="D144" s="10" t="str">
        <f aca="false">IF(C144="","",IFERROR(INDEX(NIVEL!$B:$B,MATCH(C144,NIVEL!$A:$A,0)),"¡Código no existe!"))</f>
        <v>Tubería A.C. Sche 10 De ø2 1/2"</v>
      </c>
      <c r="E144" s="10" t="str">
        <f aca="false">IF(C144="","",IFERROR(INDEX(NIVEL!$C:$C,MATCH(C144,NIVEL!$A:$A,0)),""))</f>
        <v>Ml.</v>
      </c>
      <c r="F144" s="10" t="s">
        <v>1014</v>
      </c>
      <c r="G144" s="10" t="n">
        <f aca="false">IFERROR(MATCH(F144,LISTAS!$D$2:$D$22,0),99)</f>
        <v>7</v>
      </c>
      <c r="H144" s="13" t="n">
        <v>9.33</v>
      </c>
      <c r="I144" s="10" t="s">
        <v>1060</v>
      </c>
      <c r="J144" s="10"/>
      <c r="K144" s="10" t="s">
        <v>1067</v>
      </c>
      <c r="L144" s="10"/>
      <c r="M144" s="10" t="str">
        <f aca="false">IF(C144="","SIN ASIGNAR","ASIGNADO")</f>
        <v>ASIGNADO</v>
      </c>
      <c r="N144" s="10" t="s">
        <v>991</v>
      </c>
    </row>
    <row r="145" customFormat="false" ht="15" hidden="false" customHeight="false" outlineLevel="0" collapsed="false">
      <c r="A145" s="10" t="n">
        <v>140</v>
      </c>
      <c r="B145" s="10" t="s">
        <v>21</v>
      </c>
      <c r="C145" s="8" t="s">
        <v>708</v>
      </c>
      <c r="D145" s="10" t="str">
        <f aca="false">IF(C145="","",IFERROR(INDEX(NIVEL!$B:$B,MATCH(C145,NIVEL!$A:$A,0)),"¡Código no existe!"))</f>
        <v>Tubería A.C. Sche 10 De ø2"</v>
      </c>
      <c r="E145" s="10" t="str">
        <f aca="false">IF(C145="","",IFERROR(INDEX(NIVEL!$C:$C,MATCH(C145,NIVEL!$A:$A,0)),""))</f>
        <v>Ml.</v>
      </c>
      <c r="F145" s="10" t="s">
        <v>1014</v>
      </c>
      <c r="G145" s="10" t="n">
        <f aca="false">IFERROR(MATCH(F145,LISTAS!$D$2:$D$22,0),99)</f>
        <v>7</v>
      </c>
      <c r="H145" s="13" t="n">
        <v>73.55</v>
      </c>
      <c r="I145" s="10" t="s">
        <v>1060</v>
      </c>
      <c r="J145" s="10"/>
      <c r="K145" s="10" t="s">
        <v>1063</v>
      </c>
      <c r="L145" s="10"/>
      <c r="M145" s="10" t="str">
        <f aca="false">IF(C145="","SIN ASIGNAR","ASIGNADO")</f>
        <v>ASIGNADO</v>
      </c>
      <c r="N145" s="10" t="s">
        <v>995</v>
      </c>
    </row>
    <row r="146" customFormat="false" ht="15" hidden="false" customHeight="false" outlineLevel="0" collapsed="false">
      <c r="A146" s="10" t="n">
        <v>141</v>
      </c>
      <c r="B146" s="10" t="s">
        <v>21</v>
      </c>
      <c r="C146" s="8" t="s">
        <v>712</v>
      </c>
      <c r="D146" s="10" t="str">
        <f aca="false">IF(C146="","",IFERROR(INDEX(NIVEL!$B:$B,MATCH(C146,NIVEL!$A:$A,0)),"¡Código no existe!"))</f>
        <v>Tubería A.C. Sche 10 De ø3"</v>
      </c>
      <c r="E146" s="10" t="str">
        <f aca="false">IF(C146="","",IFERROR(INDEX(NIVEL!$C:$C,MATCH(C146,NIVEL!$A:$A,0)),""))</f>
        <v>Ml.</v>
      </c>
      <c r="F146" s="10" t="s">
        <v>1014</v>
      </c>
      <c r="G146" s="10" t="n">
        <f aca="false">IFERROR(MATCH(F146,LISTAS!$D$2:$D$22,0),99)</f>
        <v>7</v>
      </c>
      <c r="H146" s="13" t="n">
        <v>189.28</v>
      </c>
      <c r="I146" s="10" t="s">
        <v>1060</v>
      </c>
      <c r="J146" s="10"/>
      <c r="K146" s="10" t="s">
        <v>1065</v>
      </c>
      <c r="L146" s="10"/>
      <c r="M146" s="10" t="str">
        <f aca="false">IF(C146="","SIN ASIGNAR","ASIGNADO")</f>
        <v>ASIGNADO</v>
      </c>
      <c r="N146" s="10" t="s">
        <v>991</v>
      </c>
    </row>
    <row r="147" customFormat="false" ht="15" hidden="false" customHeight="false" outlineLevel="0" collapsed="false">
      <c r="A147" s="10" t="n">
        <v>142</v>
      </c>
      <c r="B147" s="10" t="s">
        <v>21</v>
      </c>
      <c r="C147" s="8" t="s">
        <v>714</v>
      </c>
      <c r="D147" s="10" t="str">
        <f aca="false">IF(C147="","",IFERROR(INDEX(NIVEL!$B:$B,MATCH(C147,NIVEL!$A:$A,0)),"¡Código no existe!"))</f>
        <v>Tubería A.C. Sche 10 De ø4"</v>
      </c>
      <c r="E147" s="10" t="str">
        <f aca="false">IF(C147="","",IFERROR(INDEX(NIVEL!$C:$C,MATCH(C147,NIVEL!$A:$A,0)),""))</f>
        <v>Ml.</v>
      </c>
      <c r="F147" s="10" t="s">
        <v>1014</v>
      </c>
      <c r="G147" s="10" t="n">
        <f aca="false">IFERROR(MATCH(F147,LISTAS!$D$2:$D$22,0),99)</f>
        <v>7</v>
      </c>
      <c r="H147" s="13" t="n">
        <v>13.75</v>
      </c>
      <c r="I147" s="10" t="s">
        <v>1060</v>
      </c>
      <c r="J147" s="10"/>
      <c r="K147" s="10" t="s">
        <v>1064</v>
      </c>
      <c r="L147" s="10"/>
      <c r="M147" s="10" t="str">
        <f aca="false">IF(C147="","SIN ASIGNAR","ASIGNADO")</f>
        <v>ASIGNADO</v>
      </c>
      <c r="N147" s="10" t="s">
        <v>991</v>
      </c>
    </row>
    <row r="148" customFormat="false" ht="15" hidden="false" customHeight="false" outlineLevel="0" collapsed="false">
      <c r="A148" s="10" t="n">
        <v>143</v>
      </c>
      <c r="B148" s="10" t="s">
        <v>21</v>
      </c>
      <c r="C148" s="8" t="s">
        <v>716</v>
      </c>
      <c r="D148" s="10" t="str">
        <f aca="false">IF(C148="","",IFERROR(INDEX(NIVEL!$B:$B,MATCH(C148,NIVEL!$A:$A,0)),"¡Código no existe!"))</f>
        <v>Tubería A.C. Sche 10 De ø6"</v>
      </c>
      <c r="E148" s="10" t="str">
        <f aca="false">IF(C148="","",IFERROR(INDEX(NIVEL!$C:$C,MATCH(C148,NIVEL!$A:$A,0)),""))</f>
        <v>Ml.</v>
      </c>
      <c r="F148" s="10" t="s">
        <v>1014</v>
      </c>
      <c r="G148" s="10" t="n">
        <f aca="false">IFERROR(MATCH(F148,LISTAS!$D$2:$D$22,0),99)</f>
        <v>7</v>
      </c>
      <c r="H148" s="13" t="n">
        <v>6.17</v>
      </c>
      <c r="I148" s="10" t="s">
        <v>1060</v>
      </c>
      <c r="J148" s="10"/>
      <c r="K148" s="10" t="s">
        <v>998</v>
      </c>
      <c r="L148" s="10"/>
      <c r="M148" s="10" t="str">
        <f aca="false">IF(C148="","SIN ASIGNAR","ASIGNADO")</f>
        <v>ASIGNADO</v>
      </c>
      <c r="N148" s="10" t="s">
        <v>991</v>
      </c>
    </row>
    <row r="149" customFormat="false" ht="15" hidden="false" customHeight="false" outlineLevel="0" collapsed="false">
      <c r="A149" s="10" t="n">
        <v>144</v>
      </c>
      <c r="B149" s="10" t="s">
        <v>21</v>
      </c>
      <c r="C149" s="8" t="s">
        <v>11</v>
      </c>
      <c r="D149" s="10" t="str">
        <f aca="false">IF(C149="","",IFERROR(INDEX(NIVEL!$B:$B,MATCH(C149,NIVEL!$A:$A,0)),"¡Código no existe!"))</f>
        <v>Tubería A.C. Sche 10 De ø1 1/2"</v>
      </c>
      <c r="E149" s="10" t="str">
        <f aca="false">IF(C149="","",IFERROR(INDEX(NIVEL!$C:$C,MATCH(C149,NIVEL!$A:$A,0)),""))</f>
        <v>Ml.</v>
      </c>
      <c r="F149" s="10" t="s">
        <v>1017</v>
      </c>
      <c r="G149" s="10" t="n">
        <f aca="false">IFERROR(MATCH(F149,LISTAS!$D$2:$D$22,0),99)</f>
        <v>8</v>
      </c>
      <c r="H149" s="13" t="n">
        <v>16.69</v>
      </c>
      <c r="I149" s="10" t="s">
        <v>1060</v>
      </c>
      <c r="J149" s="10"/>
      <c r="K149" s="10" t="s">
        <v>1061</v>
      </c>
      <c r="L149" s="10"/>
      <c r="M149" s="10" t="str">
        <f aca="false">IF(C149="","SIN ASIGNAR","ASIGNADO")</f>
        <v>ASIGNADO</v>
      </c>
      <c r="N149" s="10" t="s">
        <v>991</v>
      </c>
    </row>
    <row r="150" customFormat="false" ht="15" hidden="false" customHeight="false" outlineLevel="0" collapsed="false">
      <c r="A150" s="10" t="n">
        <v>145</v>
      </c>
      <c r="B150" s="10" t="s">
        <v>21</v>
      </c>
      <c r="C150" s="8" t="s">
        <v>11</v>
      </c>
      <c r="D150" s="10" t="str">
        <f aca="false">IF(C150="","",IFERROR(INDEX(NIVEL!$B:$B,MATCH(C150,NIVEL!$A:$A,0)),"¡Código no existe!"))</f>
        <v>Tubería A.C. Sche 10 De ø1 1/2"</v>
      </c>
      <c r="E150" s="10" t="str">
        <f aca="false">IF(C150="","",IFERROR(INDEX(NIVEL!$C:$C,MATCH(C150,NIVEL!$A:$A,0)),""))</f>
        <v>Ml.</v>
      </c>
      <c r="F150" s="10" t="s">
        <v>1017</v>
      </c>
      <c r="G150" s="10" t="n">
        <f aca="false">IFERROR(MATCH(F150,LISTAS!$D$2:$D$22,0),99)</f>
        <v>8</v>
      </c>
      <c r="H150" s="13" t="n">
        <v>0.67</v>
      </c>
      <c r="I150" s="10" t="s">
        <v>1062</v>
      </c>
      <c r="J150" s="10"/>
      <c r="K150" s="10" t="s">
        <v>1061</v>
      </c>
      <c r="L150" s="10"/>
      <c r="M150" s="10" t="str">
        <f aca="false">IF(C150="","SIN ASIGNAR","ASIGNADO")</f>
        <v>ASIGNADO</v>
      </c>
      <c r="N150" s="10" t="s">
        <v>995</v>
      </c>
    </row>
    <row r="151" customFormat="false" ht="15" hidden="false" customHeight="false" outlineLevel="0" collapsed="false">
      <c r="A151" s="10" t="n">
        <v>146</v>
      </c>
      <c r="B151" s="10" t="s">
        <v>21</v>
      </c>
      <c r="C151" s="8" t="s">
        <v>705</v>
      </c>
      <c r="D151" s="10" t="str">
        <f aca="false">IF(C151="","",IFERROR(INDEX(NIVEL!$B:$B,MATCH(C151,NIVEL!$A:$A,0)),"¡Código no existe!"))</f>
        <v>Tubería A.C. Sche 10 De ø1 1/4"</v>
      </c>
      <c r="E151" s="10" t="str">
        <f aca="false">IF(C151="","",IFERROR(INDEX(NIVEL!$C:$C,MATCH(C151,NIVEL!$A:$A,0)),""))</f>
        <v>Ml.</v>
      </c>
      <c r="F151" s="10" t="s">
        <v>1017</v>
      </c>
      <c r="G151" s="10" t="n">
        <f aca="false">IFERROR(MATCH(F151,LISTAS!$D$2:$D$22,0),99)</f>
        <v>8</v>
      </c>
      <c r="H151" s="13" t="n">
        <v>0.22</v>
      </c>
      <c r="I151" s="10" t="s">
        <v>1060</v>
      </c>
      <c r="J151" s="10"/>
      <c r="K151" s="10" t="s">
        <v>1066</v>
      </c>
      <c r="L151" s="10"/>
      <c r="M151" s="10" t="str">
        <f aca="false">IF(C151="","SIN ASIGNAR","ASIGNADO")</f>
        <v>ASIGNADO</v>
      </c>
      <c r="N151" s="10" t="s">
        <v>995</v>
      </c>
    </row>
    <row r="152" customFormat="false" ht="15" hidden="false" customHeight="false" outlineLevel="0" collapsed="false">
      <c r="A152" s="10" t="n">
        <v>147</v>
      </c>
      <c r="B152" s="10" t="s">
        <v>21</v>
      </c>
      <c r="C152" s="8" t="s">
        <v>703</v>
      </c>
      <c r="D152" s="10" t="str">
        <f aca="false">IF(C152="","",IFERROR(INDEX(NIVEL!$B:$B,MATCH(C152,NIVEL!$A:$A,0)),"¡Código no existe!"))</f>
        <v>Tubería A.C. Sche 10 De ø1"</v>
      </c>
      <c r="E152" s="10" t="str">
        <f aca="false">IF(C152="","",IFERROR(INDEX(NIVEL!$C:$C,MATCH(C152,NIVEL!$A:$A,0)),""))</f>
        <v>Ml.</v>
      </c>
      <c r="F152" s="10" t="s">
        <v>1017</v>
      </c>
      <c r="G152" s="10" t="n">
        <f aca="false">IFERROR(MATCH(F152,LISTAS!$D$2:$D$22,0),99)</f>
        <v>8</v>
      </c>
      <c r="H152" s="13" t="n">
        <v>4.55</v>
      </c>
      <c r="I152" s="10" t="s">
        <v>1060</v>
      </c>
      <c r="J152" s="10"/>
      <c r="K152" s="10" t="s">
        <v>1025</v>
      </c>
      <c r="L152" s="10"/>
      <c r="M152" s="10" t="str">
        <f aca="false">IF(C152="","SIN ASIGNAR","ASIGNADO")</f>
        <v>ASIGNADO</v>
      </c>
      <c r="N152" s="10" t="s">
        <v>991</v>
      </c>
    </row>
    <row r="153" customFormat="false" ht="15" hidden="false" customHeight="false" outlineLevel="0" collapsed="false">
      <c r="A153" s="10" t="n">
        <v>148</v>
      </c>
      <c r="B153" s="10" t="s">
        <v>21</v>
      </c>
      <c r="C153" s="8" t="s">
        <v>710</v>
      </c>
      <c r="D153" s="10" t="str">
        <f aca="false">IF(C153="","",IFERROR(INDEX(NIVEL!$B:$B,MATCH(C153,NIVEL!$A:$A,0)),"¡Código no existe!"))</f>
        <v>Tubería A.C. Sche 10 De ø2 1/2"</v>
      </c>
      <c r="E153" s="10" t="str">
        <f aca="false">IF(C153="","",IFERROR(INDEX(NIVEL!$C:$C,MATCH(C153,NIVEL!$A:$A,0)),""))</f>
        <v>Ml.</v>
      </c>
      <c r="F153" s="10" t="s">
        <v>1017</v>
      </c>
      <c r="G153" s="10" t="n">
        <f aca="false">IFERROR(MATCH(F153,LISTAS!$D$2:$D$22,0),99)</f>
        <v>8</v>
      </c>
      <c r="H153" s="13" t="n">
        <v>7.89</v>
      </c>
      <c r="I153" s="10" t="s">
        <v>1060</v>
      </c>
      <c r="J153" s="10"/>
      <c r="K153" s="10" t="s">
        <v>1067</v>
      </c>
      <c r="L153" s="10"/>
      <c r="M153" s="10" t="str">
        <f aca="false">IF(C153="","SIN ASIGNAR","ASIGNADO")</f>
        <v>ASIGNADO</v>
      </c>
      <c r="N153" s="10" t="s">
        <v>991</v>
      </c>
    </row>
    <row r="154" customFormat="false" ht="15" hidden="false" customHeight="false" outlineLevel="0" collapsed="false">
      <c r="A154" s="10" t="n">
        <v>149</v>
      </c>
      <c r="B154" s="10" t="s">
        <v>21</v>
      </c>
      <c r="C154" s="8" t="s">
        <v>708</v>
      </c>
      <c r="D154" s="10" t="str">
        <f aca="false">IF(C154="","",IFERROR(INDEX(NIVEL!$B:$B,MATCH(C154,NIVEL!$A:$A,0)),"¡Código no existe!"))</f>
        <v>Tubería A.C. Sche 10 De ø2"</v>
      </c>
      <c r="E154" s="10" t="str">
        <f aca="false">IF(C154="","",IFERROR(INDEX(NIVEL!$C:$C,MATCH(C154,NIVEL!$A:$A,0)),""))</f>
        <v>Ml.</v>
      </c>
      <c r="F154" s="10" t="s">
        <v>1017</v>
      </c>
      <c r="G154" s="10" t="n">
        <f aca="false">IFERROR(MATCH(F154,LISTAS!$D$2:$D$22,0),99)</f>
        <v>8</v>
      </c>
      <c r="H154" s="13" t="n">
        <v>58.67</v>
      </c>
      <c r="I154" s="10" t="s">
        <v>1060</v>
      </c>
      <c r="J154" s="10"/>
      <c r="K154" s="10" t="s">
        <v>1063</v>
      </c>
      <c r="L154" s="10"/>
      <c r="M154" s="10" t="str">
        <f aca="false">IF(C154="","SIN ASIGNAR","ASIGNADO")</f>
        <v>ASIGNADO</v>
      </c>
      <c r="N154" s="10" t="s">
        <v>995</v>
      </c>
    </row>
    <row r="155" customFormat="false" ht="15" hidden="false" customHeight="false" outlineLevel="0" collapsed="false">
      <c r="A155" s="10" t="n">
        <v>150</v>
      </c>
      <c r="B155" s="10" t="s">
        <v>21</v>
      </c>
      <c r="C155" s="8" t="s">
        <v>712</v>
      </c>
      <c r="D155" s="10" t="str">
        <f aca="false">IF(C155="","",IFERROR(INDEX(NIVEL!$B:$B,MATCH(C155,NIVEL!$A:$A,0)),"¡Código no existe!"))</f>
        <v>Tubería A.C. Sche 10 De ø3"</v>
      </c>
      <c r="E155" s="10" t="str">
        <f aca="false">IF(C155="","",IFERROR(INDEX(NIVEL!$C:$C,MATCH(C155,NIVEL!$A:$A,0)),""))</f>
        <v>Ml.</v>
      </c>
      <c r="F155" s="10" t="s">
        <v>1017</v>
      </c>
      <c r="G155" s="10" t="n">
        <f aca="false">IFERROR(MATCH(F155,LISTAS!$D$2:$D$22,0),99)</f>
        <v>8</v>
      </c>
      <c r="H155" s="13" t="n">
        <v>23.05</v>
      </c>
      <c r="I155" s="10" t="s">
        <v>1060</v>
      </c>
      <c r="J155" s="10"/>
      <c r="K155" s="10" t="s">
        <v>1065</v>
      </c>
      <c r="L155" s="10"/>
      <c r="M155" s="10" t="str">
        <f aca="false">IF(C155="","SIN ASIGNAR","ASIGNADO")</f>
        <v>ASIGNADO</v>
      </c>
      <c r="N155" s="10" t="s">
        <v>991</v>
      </c>
    </row>
    <row r="156" customFormat="false" ht="15" hidden="false" customHeight="false" outlineLevel="0" collapsed="false">
      <c r="A156" s="10" t="n">
        <v>151</v>
      </c>
      <c r="B156" s="10" t="s">
        <v>21</v>
      </c>
      <c r="C156" s="8" t="s">
        <v>716</v>
      </c>
      <c r="D156" s="10" t="str">
        <f aca="false">IF(C156="","",IFERROR(INDEX(NIVEL!$B:$B,MATCH(C156,NIVEL!$A:$A,0)),"¡Código no existe!"))</f>
        <v>Tubería A.C. Sche 10 De ø6"</v>
      </c>
      <c r="E156" s="10" t="str">
        <f aca="false">IF(C156="","",IFERROR(INDEX(NIVEL!$C:$C,MATCH(C156,NIVEL!$A:$A,0)),""))</f>
        <v>Ml.</v>
      </c>
      <c r="F156" s="10" t="s">
        <v>1017</v>
      </c>
      <c r="G156" s="10" t="n">
        <f aca="false">IFERROR(MATCH(F156,LISTAS!$D$2:$D$22,0),99)</f>
        <v>8</v>
      </c>
      <c r="H156" s="13" t="n">
        <v>6.4</v>
      </c>
      <c r="I156" s="10" t="s">
        <v>1060</v>
      </c>
      <c r="J156" s="10"/>
      <c r="K156" s="10" t="s">
        <v>998</v>
      </c>
      <c r="L156" s="10"/>
      <c r="M156" s="10" t="str">
        <f aca="false">IF(C156="","SIN ASIGNAR","ASIGNADO")</f>
        <v>ASIGNADO</v>
      </c>
      <c r="N156" s="10" t="s">
        <v>991</v>
      </c>
    </row>
    <row r="157" customFormat="false" ht="15" hidden="false" customHeight="false" outlineLevel="0" collapsed="false">
      <c r="A157" s="10" t="n">
        <v>152</v>
      </c>
      <c r="B157" s="10" t="s">
        <v>21</v>
      </c>
      <c r="C157" s="8" t="s">
        <v>11</v>
      </c>
      <c r="D157" s="10" t="str">
        <f aca="false">IF(C157="","",IFERROR(INDEX(NIVEL!$B:$B,MATCH(C157,NIVEL!$A:$A,0)),"¡Código no existe!"))</f>
        <v>Tubería A.C. Sche 10 De ø1 1/2"</v>
      </c>
      <c r="E157" s="10" t="str">
        <f aca="false">IF(C157="","",IFERROR(INDEX(NIVEL!$C:$C,MATCH(C157,NIVEL!$A:$A,0)),""))</f>
        <v>Ml.</v>
      </c>
      <c r="F157" s="10" t="s">
        <v>1049</v>
      </c>
      <c r="G157" s="10" t="n">
        <f aca="false">IFERROR(MATCH(F157,LISTAS!$D$2:$D$22,0),99)</f>
        <v>9</v>
      </c>
      <c r="H157" s="13" t="n">
        <v>18.65</v>
      </c>
      <c r="I157" s="10" t="s">
        <v>1060</v>
      </c>
      <c r="J157" s="10"/>
      <c r="K157" s="10" t="s">
        <v>1061</v>
      </c>
      <c r="L157" s="10"/>
      <c r="M157" s="10" t="str">
        <f aca="false">IF(C157="","SIN ASIGNAR","ASIGNADO")</f>
        <v>ASIGNADO</v>
      </c>
      <c r="N157" s="10" t="s">
        <v>991</v>
      </c>
    </row>
    <row r="158" customFormat="false" ht="15" hidden="false" customHeight="false" outlineLevel="0" collapsed="false">
      <c r="A158" s="10" t="n">
        <v>153</v>
      </c>
      <c r="B158" s="10" t="s">
        <v>21</v>
      </c>
      <c r="C158" s="8" t="s">
        <v>11</v>
      </c>
      <c r="D158" s="10" t="str">
        <f aca="false">IF(C158="","",IFERROR(INDEX(NIVEL!$B:$B,MATCH(C158,NIVEL!$A:$A,0)),"¡Código no existe!"))</f>
        <v>Tubería A.C. Sche 10 De ø1 1/2"</v>
      </c>
      <c r="E158" s="10" t="str">
        <f aca="false">IF(C158="","",IFERROR(INDEX(NIVEL!$C:$C,MATCH(C158,NIVEL!$A:$A,0)),""))</f>
        <v>Ml.</v>
      </c>
      <c r="F158" s="10" t="s">
        <v>1049</v>
      </c>
      <c r="G158" s="10" t="n">
        <f aca="false">IFERROR(MATCH(F158,LISTAS!$D$2:$D$22,0),99)</f>
        <v>9</v>
      </c>
      <c r="H158" s="13" t="n">
        <v>0.67</v>
      </c>
      <c r="I158" s="10" t="s">
        <v>1062</v>
      </c>
      <c r="J158" s="10"/>
      <c r="K158" s="10" t="s">
        <v>1061</v>
      </c>
      <c r="L158" s="10"/>
      <c r="M158" s="10" t="str">
        <f aca="false">IF(C158="","SIN ASIGNAR","ASIGNADO")</f>
        <v>ASIGNADO</v>
      </c>
      <c r="N158" s="10" t="s">
        <v>995</v>
      </c>
    </row>
    <row r="159" customFormat="false" ht="15" hidden="false" customHeight="false" outlineLevel="0" collapsed="false">
      <c r="A159" s="10" t="n">
        <v>154</v>
      </c>
      <c r="B159" s="10" t="s">
        <v>21</v>
      </c>
      <c r="C159" s="8" t="s">
        <v>716</v>
      </c>
      <c r="D159" s="10" t="str">
        <f aca="false">IF(C159="","",IFERROR(INDEX(NIVEL!$B:$B,MATCH(C159,NIVEL!$A:$A,0)),"¡Código no existe!"))</f>
        <v>Tubería A.C. Sche 10 De ø6"</v>
      </c>
      <c r="E159" s="10" t="str">
        <f aca="false">IF(C159="","",IFERROR(INDEX(NIVEL!$C:$C,MATCH(C159,NIVEL!$A:$A,0)),""))</f>
        <v>Ml.</v>
      </c>
      <c r="F159" s="10" t="s">
        <v>1049</v>
      </c>
      <c r="G159" s="10" t="n">
        <f aca="false">IFERROR(MATCH(F159,LISTAS!$D$2:$D$22,0),99)</f>
        <v>9</v>
      </c>
      <c r="H159" s="13" t="n">
        <v>6.4</v>
      </c>
      <c r="I159" s="10" t="s">
        <v>1060</v>
      </c>
      <c r="J159" s="10"/>
      <c r="K159" s="10" t="s">
        <v>998</v>
      </c>
      <c r="L159" s="10"/>
      <c r="M159" s="10" t="str">
        <f aca="false">IF(C159="","SIN ASIGNAR","ASIGNADO")</f>
        <v>ASIGNADO</v>
      </c>
      <c r="N159" s="10" t="s">
        <v>991</v>
      </c>
    </row>
    <row r="160" customFormat="false" ht="15" hidden="false" customHeight="false" outlineLevel="0" collapsed="false">
      <c r="A160" s="10" t="n">
        <v>155</v>
      </c>
      <c r="B160" s="10" t="s">
        <v>21</v>
      </c>
      <c r="C160" s="8" t="s">
        <v>11</v>
      </c>
      <c r="D160" s="10" t="str">
        <f aca="false">IF(C160="","",IFERROR(INDEX(NIVEL!$B:$B,MATCH(C160,NIVEL!$A:$A,0)),"¡Código no existe!"))</f>
        <v>Tubería A.C. Sche 10 De ø1 1/2"</v>
      </c>
      <c r="E160" s="10" t="str">
        <f aca="false">IF(C160="","",IFERROR(INDEX(NIVEL!$C:$C,MATCH(C160,NIVEL!$A:$A,0)),""))</f>
        <v>Ml.</v>
      </c>
      <c r="F160" s="10" t="s">
        <v>1050</v>
      </c>
      <c r="G160" s="10" t="n">
        <f aca="false">IFERROR(MATCH(F160,LISTAS!$D$2:$D$22,0),99)</f>
        <v>10</v>
      </c>
      <c r="H160" s="13" t="n">
        <v>18.65</v>
      </c>
      <c r="I160" s="10" t="s">
        <v>1060</v>
      </c>
      <c r="J160" s="10"/>
      <c r="K160" s="10" t="s">
        <v>1061</v>
      </c>
      <c r="L160" s="10"/>
      <c r="M160" s="10" t="str">
        <f aca="false">IF(C160="","SIN ASIGNAR","ASIGNADO")</f>
        <v>ASIGNADO</v>
      </c>
      <c r="N160" s="10" t="s">
        <v>991</v>
      </c>
    </row>
    <row r="161" customFormat="false" ht="15" hidden="false" customHeight="false" outlineLevel="0" collapsed="false">
      <c r="A161" s="10" t="n">
        <v>156</v>
      </c>
      <c r="B161" s="10" t="s">
        <v>21</v>
      </c>
      <c r="C161" s="8" t="s">
        <v>11</v>
      </c>
      <c r="D161" s="10" t="str">
        <f aca="false">IF(C161="","",IFERROR(INDEX(NIVEL!$B:$B,MATCH(C161,NIVEL!$A:$A,0)),"¡Código no existe!"))</f>
        <v>Tubería A.C. Sche 10 De ø1 1/2"</v>
      </c>
      <c r="E161" s="10" t="str">
        <f aca="false">IF(C161="","",IFERROR(INDEX(NIVEL!$C:$C,MATCH(C161,NIVEL!$A:$A,0)),""))</f>
        <v>Ml.</v>
      </c>
      <c r="F161" s="10" t="s">
        <v>1050</v>
      </c>
      <c r="G161" s="10" t="n">
        <f aca="false">IFERROR(MATCH(F161,LISTAS!$D$2:$D$22,0),99)</f>
        <v>10</v>
      </c>
      <c r="H161" s="13" t="n">
        <v>0.67</v>
      </c>
      <c r="I161" s="10" t="s">
        <v>1062</v>
      </c>
      <c r="J161" s="10"/>
      <c r="K161" s="10" t="s">
        <v>1061</v>
      </c>
      <c r="L161" s="10"/>
      <c r="M161" s="10" t="str">
        <f aca="false">IF(C161="","SIN ASIGNAR","ASIGNADO")</f>
        <v>ASIGNADO</v>
      </c>
      <c r="N161" s="10" t="s">
        <v>995</v>
      </c>
    </row>
    <row r="162" customFormat="false" ht="15" hidden="false" customHeight="false" outlineLevel="0" collapsed="false">
      <c r="A162" s="10" t="n">
        <v>157</v>
      </c>
      <c r="B162" s="10" t="s">
        <v>21</v>
      </c>
      <c r="C162" s="8" t="s">
        <v>716</v>
      </c>
      <c r="D162" s="10" t="str">
        <f aca="false">IF(C162="","",IFERROR(INDEX(NIVEL!$B:$B,MATCH(C162,NIVEL!$A:$A,0)),"¡Código no existe!"))</f>
        <v>Tubería A.C. Sche 10 De ø6"</v>
      </c>
      <c r="E162" s="10" t="str">
        <f aca="false">IF(C162="","",IFERROR(INDEX(NIVEL!$C:$C,MATCH(C162,NIVEL!$A:$A,0)),""))</f>
        <v>Ml.</v>
      </c>
      <c r="F162" s="10" t="s">
        <v>1050</v>
      </c>
      <c r="G162" s="10" t="n">
        <f aca="false">IFERROR(MATCH(F162,LISTAS!$D$2:$D$22,0),99)</f>
        <v>10</v>
      </c>
      <c r="H162" s="13" t="n">
        <v>6.4</v>
      </c>
      <c r="I162" s="10" t="s">
        <v>1060</v>
      </c>
      <c r="J162" s="10"/>
      <c r="K162" s="10" t="s">
        <v>998</v>
      </c>
      <c r="L162" s="10"/>
      <c r="M162" s="10" t="str">
        <f aca="false">IF(C162="","SIN ASIGNAR","ASIGNADO")</f>
        <v>ASIGNADO</v>
      </c>
      <c r="N162" s="10" t="s">
        <v>991</v>
      </c>
    </row>
    <row r="163" customFormat="false" ht="15" hidden="false" customHeight="false" outlineLevel="0" collapsed="false">
      <c r="A163" s="10" t="n">
        <v>158</v>
      </c>
      <c r="B163" s="10" t="s">
        <v>21</v>
      </c>
      <c r="C163" s="8" t="s">
        <v>11</v>
      </c>
      <c r="D163" s="10" t="str">
        <f aca="false">IF(C163="","",IFERROR(INDEX(NIVEL!$B:$B,MATCH(C163,NIVEL!$A:$A,0)),"¡Código no existe!"))</f>
        <v>Tubería A.C. Sche 10 De ø1 1/2"</v>
      </c>
      <c r="E163" s="10" t="str">
        <f aca="false">IF(C163="","",IFERROR(INDEX(NIVEL!$C:$C,MATCH(C163,NIVEL!$A:$A,0)),""))</f>
        <v>Ml.</v>
      </c>
      <c r="F163" s="10" t="s">
        <v>1051</v>
      </c>
      <c r="G163" s="10" t="n">
        <f aca="false">IFERROR(MATCH(F163,LISTAS!$D$2:$D$22,0),99)</f>
        <v>11</v>
      </c>
      <c r="H163" s="13" t="n">
        <v>18.65</v>
      </c>
      <c r="I163" s="10" t="s">
        <v>1060</v>
      </c>
      <c r="J163" s="10"/>
      <c r="K163" s="10" t="s">
        <v>1061</v>
      </c>
      <c r="L163" s="10"/>
      <c r="M163" s="10" t="str">
        <f aca="false">IF(C163="","SIN ASIGNAR","ASIGNADO")</f>
        <v>ASIGNADO</v>
      </c>
      <c r="N163" s="10" t="s">
        <v>991</v>
      </c>
    </row>
    <row r="164" customFormat="false" ht="15" hidden="false" customHeight="false" outlineLevel="0" collapsed="false">
      <c r="A164" s="10" t="n">
        <v>159</v>
      </c>
      <c r="B164" s="10" t="s">
        <v>21</v>
      </c>
      <c r="C164" s="8" t="s">
        <v>11</v>
      </c>
      <c r="D164" s="10" t="str">
        <f aca="false">IF(C164="","",IFERROR(INDEX(NIVEL!$B:$B,MATCH(C164,NIVEL!$A:$A,0)),"¡Código no existe!"))</f>
        <v>Tubería A.C. Sche 10 De ø1 1/2"</v>
      </c>
      <c r="E164" s="10" t="str">
        <f aca="false">IF(C164="","",IFERROR(INDEX(NIVEL!$C:$C,MATCH(C164,NIVEL!$A:$A,0)),""))</f>
        <v>Ml.</v>
      </c>
      <c r="F164" s="10" t="s">
        <v>1051</v>
      </c>
      <c r="G164" s="10" t="n">
        <f aca="false">IFERROR(MATCH(F164,LISTAS!$D$2:$D$22,0),99)</f>
        <v>11</v>
      </c>
      <c r="H164" s="13" t="n">
        <v>0.67</v>
      </c>
      <c r="I164" s="10" t="s">
        <v>1062</v>
      </c>
      <c r="J164" s="10"/>
      <c r="K164" s="10" t="s">
        <v>1061</v>
      </c>
      <c r="L164" s="10"/>
      <c r="M164" s="10" t="str">
        <f aca="false">IF(C164="","SIN ASIGNAR","ASIGNADO")</f>
        <v>ASIGNADO</v>
      </c>
      <c r="N164" s="10" t="s">
        <v>995</v>
      </c>
    </row>
    <row r="165" customFormat="false" ht="15" hidden="false" customHeight="false" outlineLevel="0" collapsed="false">
      <c r="A165" s="10" t="n">
        <v>160</v>
      </c>
      <c r="B165" s="10" t="s">
        <v>21</v>
      </c>
      <c r="C165" s="8" t="s">
        <v>716</v>
      </c>
      <c r="D165" s="10" t="str">
        <f aca="false">IF(C165="","",IFERROR(INDEX(NIVEL!$B:$B,MATCH(C165,NIVEL!$A:$A,0)),"¡Código no existe!"))</f>
        <v>Tubería A.C. Sche 10 De ø6"</v>
      </c>
      <c r="E165" s="10" t="str">
        <f aca="false">IF(C165="","",IFERROR(INDEX(NIVEL!$C:$C,MATCH(C165,NIVEL!$A:$A,0)),""))</f>
        <v>Ml.</v>
      </c>
      <c r="F165" s="10" t="s">
        <v>1051</v>
      </c>
      <c r="G165" s="10" t="n">
        <f aca="false">IFERROR(MATCH(F165,LISTAS!$D$2:$D$22,0),99)</f>
        <v>11</v>
      </c>
      <c r="H165" s="13" t="n">
        <v>6.4</v>
      </c>
      <c r="I165" s="10" t="s">
        <v>1060</v>
      </c>
      <c r="J165" s="10"/>
      <c r="K165" s="10" t="s">
        <v>998</v>
      </c>
      <c r="L165" s="10"/>
      <c r="M165" s="10" t="str">
        <f aca="false">IF(C165="","SIN ASIGNAR","ASIGNADO")</f>
        <v>ASIGNADO</v>
      </c>
      <c r="N165" s="10" t="s">
        <v>991</v>
      </c>
    </row>
    <row r="166" customFormat="false" ht="15" hidden="false" customHeight="false" outlineLevel="0" collapsed="false">
      <c r="A166" s="10" t="n">
        <v>161</v>
      </c>
      <c r="B166" s="10" t="s">
        <v>21</v>
      </c>
      <c r="C166" s="8" t="s">
        <v>11</v>
      </c>
      <c r="D166" s="10" t="str">
        <f aca="false">IF(C166="","",IFERROR(INDEX(NIVEL!$B:$B,MATCH(C166,NIVEL!$A:$A,0)),"¡Código no existe!"))</f>
        <v>Tubería A.C. Sche 10 De ø1 1/2"</v>
      </c>
      <c r="E166" s="10" t="str">
        <f aca="false">IF(C166="","",IFERROR(INDEX(NIVEL!$C:$C,MATCH(C166,NIVEL!$A:$A,0)),""))</f>
        <v>Ml.</v>
      </c>
      <c r="F166" s="10" t="s">
        <v>1052</v>
      </c>
      <c r="G166" s="10" t="n">
        <f aca="false">IFERROR(MATCH(F166,LISTAS!$D$2:$D$22,0),99)</f>
        <v>12</v>
      </c>
      <c r="H166" s="13" t="n">
        <v>18.65</v>
      </c>
      <c r="I166" s="10" t="s">
        <v>1060</v>
      </c>
      <c r="J166" s="10"/>
      <c r="K166" s="10" t="s">
        <v>1061</v>
      </c>
      <c r="L166" s="10"/>
      <c r="M166" s="10" t="str">
        <f aca="false">IF(C166="","SIN ASIGNAR","ASIGNADO")</f>
        <v>ASIGNADO</v>
      </c>
      <c r="N166" s="10" t="s">
        <v>991</v>
      </c>
    </row>
    <row r="167" customFormat="false" ht="15" hidden="false" customHeight="false" outlineLevel="0" collapsed="false">
      <c r="A167" s="10" t="n">
        <v>162</v>
      </c>
      <c r="B167" s="10" t="s">
        <v>21</v>
      </c>
      <c r="C167" s="8" t="s">
        <v>11</v>
      </c>
      <c r="D167" s="10" t="str">
        <f aca="false">IF(C167="","",IFERROR(INDEX(NIVEL!$B:$B,MATCH(C167,NIVEL!$A:$A,0)),"¡Código no existe!"))</f>
        <v>Tubería A.C. Sche 10 De ø1 1/2"</v>
      </c>
      <c r="E167" s="10" t="str">
        <f aca="false">IF(C167="","",IFERROR(INDEX(NIVEL!$C:$C,MATCH(C167,NIVEL!$A:$A,0)),""))</f>
        <v>Ml.</v>
      </c>
      <c r="F167" s="10" t="s">
        <v>1052</v>
      </c>
      <c r="G167" s="10" t="n">
        <f aca="false">IFERROR(MATCH(F167,LISTAS!$D$2:$D$22,0),99)</f>
        <v>12</v>
      </c>
      <c r="H167" s="13" t="n">
        <v>0.67</v>
      </c>
      <c r="I167" s="10" t="s">
        <v>1062</v>
      </c>
      <c r="J167" s="10"/>
      <c r="K167" s="10" t="s">
        <v>1061</v>
      </c>
      <c r="L167" s="10"/>
      <c r="M167" s="10" t="str">
        <f aca="false">IF(C167="","SIN ASIGNAR","ASIGNADO")</f>
        <v>ASIGNADO</v>
      </c>
      <c r="N167" s="10" t="s">
        <v>995</v>
      </c>
    </row>
    <row r="168" customFormat="false" ht="15" hidden="false" customHeight="false" outlineLevel="0" collapsed="false">
      <c r="A168" s="10" t="n">
        <v>163</v>
      </c>
      <c r="B168" s="10" t="s">
        <v>21</v>
      </c>
      <c r="C168" s="8" t="s">
        <v>716</v>
      </c>
      <c r="D168" s="10" t="str">
        <f aca="false">IF(C168="","",IFERROR(INDEX(NIVEL!$B:$B,MATCH(C168,NIVEL!$A:$A,0)),"¡Código no existe!"))</f>
        <v>Tubería A.C. Sche 10 De ø6"</v>
      </c>
      <c r="E168" s="10" t="str">
        <f aca="false">IF(C168="","",IFERROR(INDEX(NIVEL!$C:$C,MATCH(C168,NIVEL!$A:$A,0)),""))</f>
        <v>Ml.</v>
      </c>
      <c r="F168" s="10" t="s">
        <v>1052</v>
      </c>
      <c r="G168" s="10" t="n">
        <f aca="false">IFERROR(MATCH(F168,LISTAS!$D$2:$D$22,0),99)</f>
        <v>12</v>
      </c>
      <c r="H168" s="13" t="n">
        <v>6.4</v>
      </c>
      <c r="I168" s="10" t="s">
        <v>1060</v>
      </c>
      <c r="J168" s="10"/>
      <c r="K168" s="10" t="s">
        <v>998</v>
      </c>
      <c r="L168" s="10"/>
      <c r="M168" s="10" t="str">
        <f aca="false">IF(C168="","SIN ASIGNAR","ASIGNADO")</f>
        <v>ASIGNADO</v>
      </c>
      <c r="N168" s="10" t="s">
        <v>991</v>
      </c>
    </row>
    <row r="169" customFormat="false" ht="15" hidden="false" customHeight="false" outlineLevel="0" collapsed="false">
      <c r="A169" s="10" t="n">
        <v>164</v>
      </c>
      <c r="B169" s="10" t="s">
        <v>21</v>
      </c>
      <c r="C169" s="8" t="s">
        <v>11</v>
      </c>
      <c r="D169" s="10" t="str">
        <f aca="false">IF(C169="","",IFERROR(INDEX(NIVEL!$B:$B,MATCH(C169,NIVEL!$A:$A,0)),"¡Código no existe!"))</f>
        <v>Tubería A.C. Sche 10 De ø1 1/2"</v>
      </c>
      <c r="E169" s="10" t="str">
        <f aca="false">IF(C169="","",IFERROR(INDEX(NIVEL!$C:$C,MATCH(C169,NIVEL!$A:$A,0)),""))</f>
        <v>Ml.</v>
      </c>
      <c r="F169" s="10" t="s">
        <v>1053</v>
      </c>
      <c r="G169" s="10" t="n">
        <f aca="false">IFERROR(MATCH(F169,LISTAS!$D$2:$D$22,0),99)</f>
        <v>13</v>
      </c>
      <c r="H169" s="13" t="n">
        <v>18.65</v>
      </c>
      <c r="I169" s="10" t="s">
        <v>1060</v>
      </c>
      <c r="J169" s="10"/>
      <c r="K169" s="10" t="s">
        <v>1061</v>
      </c>
      <c r="L169" s="10"/>
      <c r="M169" s="10" t="str">
        <f aca="false">IF(C169="","SIN ASIGNAR","ASIGNADO")</f>
        <v>ASIGNADO</v>
      </c>
      <c r="N169" s="10" t="s">
        <v>991</v>
      </c>
    </row>
    <row r="170" customFormat="false" ht="15" hidden="false" customHeight="false" outlineLevel="0" collapsed="false">
      <c r="A170" s="10" t="n">
        <v>165</v>
      </c>
      <c r="B170" s="10" t="s">
        <v>21</v>
      </c>
      <c r="C170" s="8" t="s">
        <v>11</v>
      </c>
      <c r="D170" s="10" t="str">
        <f aca="false">IF(C170="","",IFERROR(INDEX(NIVEL!$B:$B,MATCH(C170,NIVEL!$A:$A,0)),"¡Código no existe!"))</f>
        <v>Tubería A.C. Sche 10 De ø1 1/2"</v>
      </c>
      <c r="E170" s="10" t="str">
        <f aca="false">IF(C170="","",IFERROR(INDEX(NIVEL!$C:$C,MATCH(C170,NIVEL!$A:$A,0)),""))</f>
        <v>Ml.</v>
      </c>
      <c r="F170" s="10" t="s">
        <v>1053</v>
      </c>
      <c r="G170" s="10" t="n">
        <f aca="false">IFERROR(MATCH(F170,LISTAS!$D$2:$D$22,0),99)</f>
        <v>13</v>
      </c>
      <c r="H170" s="13" t="n">
        <v>0.67</v>
      </c>
      <c r="I170" s="10" t="s">
        <v>1062</v>
      </c>
      <c r="J170" s="10"/>
      <c r="K170" s="10" t="s">
        <v>1061</v>
      </c>
      <c r="L170" s="10"/>
      <c r="M170" s="10" t="str">
        <f aca="false">IF(C170="","SIN ASIGNAR","ASIGNADO")</f>
        <v>ASIGNADO</v>
      </c>
      <c r="N170" s="10" t="s">
        <v>995</v>
      </c>
    </row>
    <row r="171" customFormat="false" ht="15" hidden="false" customHeight="false" outlineLevel="0" collapsed="false">
      <c r="A171" s="10" t="n">
        <v>166</v>
      </c>
      <c r="B171" s="10" t="s">
        <v>21</v>
      </c>
      <c r="C171" s="8" t="s">
        <v>716</v>
      </c>
      <c r="D171" s="10" t="str">
        <f aca="false">IF(C171="","",IFERROR(INDEX(NIVEL!$B:$B,MATCH(C171,NIVEL!$A:$A,0)),"¡Código no existe!"))</f>
        <v>Tubería A.C. Sche 10 De ø6"</v>
      </c>
      <c r="E171" s="10" t="str">
        <f aca="false">IF(C171="","",IFERROR(INDEX(NIVEL!$C:$C,MATCH(C171,NIVEL!$A:$A,0)),""))</f>
        <v>Ml.</v>
      </c>
      <c r="F171" s="10" t="s">
        <v>1053</v>
      </c>
      <c r="G171" s="10" t="n">
        <f aca="false">IFERROR(MATCH(F171,LISTAS!$D$2:$D$22,0),99)</f>
        <v>13</v>
      </c>
      <c r="H171" s="13" t="n">
        <v>6.4</v>
      </c>
      <c r="I171" s="10" t="s">
        <v>1060</v>
      </c>
      <c r="J171" s="10"/>
      <c r="K171" s="10" t="s">
        <v>998</v>
      </c>
      <c r="L171" s="10"/>
      <c r="M171" s="10" t="str">
        <f aca="false">IF(C171="","SIN ASIGNAR","ASIGNADO")</f>
        <v>ASIGNADO</v>
      </c>
      <c r="N171" s="10" t="s">
        <v>991</v>
      </c>
    </row>
    <row r="172" customFormat="false" ht="15" hidden="false" customHeight="false" outlineLevel="0" collapsed="false">
      <c r="A172" s="10" t="n">
        <v>167</v>
      </c>
      <c r="B172" s="10" t="s">
        <v>21</v>
      </c>
      <c r="C172" s="8" t="s">
        <v>11</v>
      </c>
      <c r="D172" s="10" t="str">
        <f aca="false">IF(C172="","",IFERROR(INDEX(NIVEL!$B:$B,MATCH(C172,NIVEL!$A:$A,0)),"¡Código no existe!"))</f>
        <v>Tubería A.C. Sche 10 De ø1 1/2"</v>
      </c>
      <c r="E172" s="10" t="str">
        <f aca="false">IF(C172="","",IFERROR(INDEX(NIVEL!$C:$C,MATCH(C172,NIVEL!$A:$A,0)),""))</f>
        <v>Ml.</v>
      </c>
      <c r="F172" s="10" t="s">
        <v>1054</v>
      </c>
      <c r="G172" s="10" t="n">
        <f aca="false">IFERROR(MATCH(F172,LISTAS!$D$2:$D$22,0),99)</f>
        <v>14</v>
      </c>
      <c r="H172" s="13" t="n">
        <v>18.65</v>
      </c>
      <c r="I172" s="10" t="s">
        <v>1060</v>
      </c>
      <c r="J172" s="10"/>
      <c r="K172" s="10" t="s">
        <v>1061</v>
      </c>
      <c r="L172" s="10"/>
      <c r="M172" s="10" t="str">
        <f aca="false">IF(C172="","SIN ASIGNAR","ASIGNADO")</f>
        <v>ASIGNADO</v>
      </c>
      <c r="N172" s="10" t="s">
        <v>991</v>
      </c>
    </row>
    <row r="173" customFormat="false" ht="15" hidden="false" customHeight="false" outlineLevel="0" collapsed="false">
      <c r="A173" s="10" t="n">
        <v>168</v>
      </c>
      <c r="B173" s="10" t="s">
        <v>21</v>
      </c>
      <c r="C173" s="8" t="s">
        <v>11</v>
      </c>
      <c r="D173" s="10" t="str">
        <f aca="false">IF(C173="","",IFERROR(INDEX(NIVEL!$B:$B,MATCH(C173,NIVEL!$A:$A,0)),"¡Código no existe!"))</f>
        <v>Tubería A.C. Sche 10 De ø1 1/2"</v>
      </c>
      <c r="E173" s="10" t="str">
        <f aca="false">IF(C173="","",IFERROR(INDEX(NIVEL!$C:$C,MATCH(C173,NIVEL!$A:$A,0)),""))</f>
        <v>Ml.</v>
      </c>
      <c r="F173" s="10" t="s">
        <v>1054</v>
      </c>
      <c r="G173" s="10" t="n">
        <f aca="false">IFERROR(MATCH(F173,LISTAS!$D$2:$D$22,0),99)</f>
        <v>14</v>
      </c>
      <c r="H173" s="13" t="n">
        <v>0.67</v>
      </c>
      <c r="I173" s="10" t="s">
        <v>1062</v>
      </c>
      <c r="J173" s="10"/>
      <c r="K173" s="10" t="s">
        <v>1061</v>
      </c>
      <c r="L173" s="10"/>
      <c r="M173" s="10" t="str">
        <f aca="false">IF(C173="","SIN ASIGNAR","ASIGNADO")</f>
        <v>ASIGNADO</v>
      </c>
      <c r="N173" s="10" t="s">
        <v>995</v>
      </c>
    </row>
    <row r="174" customFormat="false" ht="15" hidden="false" customHeight="false" outlineLevel="0" collapsed="false">
      <c r="A174" s="10" t="n">
        <v>169</v>
      </c>
      <c r="B174" s="10" t="s">
        <v>21</v>
      </c>
      <c r="C174" s="8" t="s">
        <v>716</v>
      </c>
      <c r="D174" s="10" t="str">
        <f aca="false">IF(C174="","",IFERROR(INDEX(NIVEL!$B:$B,MATCH(C174,NIVEL!$A:$A,0)),"¡Código no existe!"))</f>
        <v>Tubería A.C. Sche 10 De ø6"</v>
      </c>
      <c r="E174" s="10" t="str">
        <f aca="false">IF(C174="","",IFERROR(INDEX(NIVEL!$C:$C,MATCH(C174,NIVEL!$A:$A,0)),""))</f>
        <v>Ml.</v>
      </c>
      <c r="F174" s="10" t="s">
        <v>1054</v>
      </c>
      <c r="G174" s="10" t="n">
        <f aca="false">IFERROR(MATCH(F174,LISTAS!$D$2:$D$22,0),99)</f>
        <v>14</v>
      </c>
      <c r="H174" s="13" t="n">
        <v>6.4</v>
      </c>
      <c r="I174" s="10" t="s">
        <v>1060</v>
      </c>
      <c r="J174" s="10"/>
      <c r="K174" s="10" t="s">
        <v>998</v>
      </c>
      <c r="L174" s="10"/>
      <c r="M174" s="10" t="str">
        <f aca="false">IF(C174="","SIN ASIGNAR","ASIGNADO")</f>
        <v>ASIGNADO</v>
      </c>
      <c r="N174" s="10" t="s">
        <v>991</v>
      </c>
    </row>
    <row r="175" customFormat="false" ht="15" hidden="false" customHeight="false" outlineLevel="0" collapsed="false">
      <c r="A175" s="10" t="n">
        <v>170</v>
      </c>
      <c r="B175" s="10" t="s">
        <v>21</v>
      </c>
      <c r="C175" s="8" t="s">
        <v>11</v>
      </c>
      <c r="D175" s="10" t="str">
        <f aca="false">IF(C175="","",IFERROR(INDEX(NIVEL!$B:$B,MATCH(C175,NIVEL!$A:$A,0)),"¡Código no existe!"))</f>
        <v>Tubería A.C. Sche 10 De ø1 1/2"</v>
      </c>
      <c r="E175" s="10" t="str">
        <f aca="false">IF(C175="","",IFERROR(INDEX(NIVEL!$C:$C,MATCH(C175,NIVEL!$A:$A,0)),""))</f>
        <v>Ml.</v>
      </c>
      <c r="F175" s="10" t="s">
        <v>1055</v>
      </c>
      <c r="G175" s="10" t="n">
        <f aca="false">IFERROR(MATCH(F175,LISTAS!$D$2:$D$22,0),99)</f>
        <v>15</v>
      </c>
      <c r="H175" s="13" t="n">
        <v>18.65</v>
      </c>
      <c r="I175" s="10" t="s">
        <v>1060</v>
      </c>
      <c r="J175" s="10"/>
      <c r="K175" s="10" t="s">
        <v>1061</v>
      </c>
      <c r="L175" s="10"/>
      <c r="M175" s="10" t="str">
        <f aca="false">IF(C175="","SIN ASIGNAR","ASIGNADO")</f>
        <v>ASIGNADO</v>
      </c>
      <c r="N175" s="10" t="s">
        <v>991</v>
      </c>
    </row>
    <row r="176" customFormat="false" ht="15" hidden="false" customHeight="false" outlineLevel="0" collapsed="false">
      <c r="A176" s="10" t="n">
        <v>171</v>
      </c>
      <c r="B176" s="10" t="s">
        <v>21</v>
      </c>
      <c r="C176" s="8" t="s">
        <v>11</v>
      </c>
      <c r="D176" s="10" t="str">
        <f aca="false">IF(C176="","",IFERROR(INDEX(NIVEL!$B:$B,MATCH(C176,NIVEL!$A:$A,0)),"¡Código no existe!"))</f>
        <v>Tubería A.C. Sche 10 De ø1 1/2"</v>
      </c>
      <c r="E176" s="10" t="str">
        <f aca="false">IF(C176="","",IFERROR(INDEX(NIVEL!$C:$C,MATCH(C176,NIVEL!$A:$A,0)),""))</f>
        <v>Ml.</v>
      </c>
      <c r="F176" s="10" t="s">
        <v>1055</v>
      </c>
      <c r="G176" s="10" t="n">
        <f aca="false">IFERROR(MATCH(F176,LISTAS!$D$2:$D$22,0),99)</f>
        <v>15</v>
      </c>
      <c r="H176" s="13" t="n">
        <v>0.67</v>
      </c>
      <c r="I176" s="10" t="s">
        <v>1062</v>
      </c>
      <c r="J176" s="10"/>
      <c r="K176" s="10" t="s">
        <v>1061</v>
      </c>
      <c r="L176" s="10"/>
      <c r="M176" s="10" t="str">
        <f aca="false">IF(C176="","SIN ASIGNAR","ASIGNADO")</f>
        <v>ASIGNADO</v>
      </c>
      <c r="N176" s="10" t="s">
        <v>995</v>
      </c>
    </row>
    <row r="177" customFormat="false" ht="15" hidden="false" customHeight="false" outlineLevel="0" collapsed="false">
      <c r="A177" s="10" t="n">
        <v>172</v>
      </c>
      <c r="B177" s="10" t="s">
        <v>21</v>
      </c>
      <c r="C177" s="8" t="s">
        <v>716</v>
      </c>
      <c r="D177" s="10" t="str">
        <f aca="false">IF(C177="","",IFERROR(INDEX(NIVEL!$B:$B,MATCH(C177,NIVEL!$A:$A,0)),"¡Código no existe!"))</f>
        <v>Tubería A.C. Sche 10 De ø6"</v>
      </c>
      <c r="E177" s="10" t="str">
        <f aca="false">IF(C177="","",IFERROR(INDEX(NIVEL!$C:$C,MATCH(C177,NIVEL!$A:$A,0)),""))</f>
        <v>Ml.</v>
      </c>
      <c r="F177" s="10" t="s">
        <v>1055</v>
      </c>
      <c r="G177" s="10" t="n">
        <f aca="false">IFERROR(MATCH(F177,LISTAS!$D$2:$D$22,0),99)</f>
        <v>15</v>
      </c>
      <c r="H177" s="13" t="n">
        <v>6.55</v>
      </c>
      <c r="I177" s="10" t="s">
        <v>1060</v>
      </c>
      <c r="J177" s="10"/>
      <c r="K177" s="10" t="s">
        <v>998</v>
      </c>
      <c r="L177" s="10"/>
      <c r="M177" s="10" t="str">
        <f aca="false">IF(C177="","SIN ASIGNAR","ASIGNADO")</f>
        <v>ASIGNADO</v>
      </c>
      <c r="N177" s="10" t="s">
        <v>991</v>
      </c>
    </row>
    <row r="178" customFormat="false" ht="15" hidden="false" customHeight="false" outlineLevel="0" collapsed="false">
      <c r="A178" s="10" t="n">
        <v>173</v>
      </c>
      <c r="B178" s="10" t="s">
        <v>21</v>
      </c>
      <c r="C178" s="8" t="s">
        <v>11</v>
      </c>
      <c r="D178" s="10" t="str">
        <f aca="false">IF(C178="","",IFERROR(INDEX(NIVEL!$B:$B,MATCH(C178,NIVEL!$A:$A,0)),"¡Código no existe!"))</f>
        <v>Tubería A.C. Sche 10 De ø1 1/2"</v>
      </c>
      <c r="E178" s="10" t="str">
        <f aca="false">IF(C178="","",IFERROR(INDEX(NIVEL!$C:$C,MATCH(C178,NIVEL!$A:$A,0)),""))</f>
        <v>Ml.</v>
      </c>
      <c r="F178" s="10" t="s">
        <v>1056</v>
      </c>
      <c r="G178" s="10" t="n">
        <f aca="false">IFERROR(MATCH(F178,LISTAS!$D$2:$D$22,0),99)</f>
        <v>16</v>
      </c>
      <c r="H178" s="13" t="n">
        <v>18.65</v>
      </c>
      <c r="I178" s="10" t="s">
        <v>1060</v>
      </c>
      <c r="J178" s="10"/>
      <c r="K178" s="10" t="s">
        <v>1061</v>
      </c>
      <c r="L178" s="10"/>
      <c r="M178" s="10" t="str">
        <f aca="false">IF(C178="","SIN ASIGNAR","ASIGNADO")</f>
        <v>ASIGNADO</v>
      </c>
      <c r="N178" s="10" t="s">
        <v>991</v>
      </c>
    </row>
    <row r="179" customFormat="false" ht="15" hidden="false" customHeight="false" outlineLevel="0" collapsed="false">
      <c r="A179" s="10" t="n">
        <v>174</v>
      </c>
      <c r="B179" s="10" t="s">
        <v>21</v>
      </c>
      <c r="C179" s="8" t="s">
        <v>11</v>
      </c>
      <c r="D179" s="10" t="str">
        <f aca="false">IF(C179="","",IFERROR(INDEX(NIVEL!$B:$B,MATCH(C179,NIVEL!$A:$A,0)),"¡Código no existe!"))</f>
        <v>Tubería A.C. Sche 10 De ø1 1/2"</v>
      </c>
      <c r="E179" s="10" t="str">
        <f aca="false">IF(C179="","",IFERROR(INDEX(NIVEL!$C:$C,MATCH(C179,NIVEL!$A:$A,0)),""))</f>
        <v>Ml.</v>
      </c>
      <c r="F179" s="10" t="s">
        <v>1056</v>
      </c>
      <c r="G179" s="10" t="n">
        <f aca="false">IFERROR(MATCH(F179,LISTAS!$D$2:$D$22,0),99)</f>
        <v>16</v>
      </c>
      <c r="H179" s="13" t="n">
        <v>0.67</v>
      </c>
      <c r="I179" s="10" t="s">
        <v>1062</v>
      </c>
      <c r="J179" s="10"/>
      <c r="K179" s="10" t="s">
        <v>1061</v>
      </c>
      <c r="L179" s="10"/>
      <c r="M179" s="10" t="str">
        <f aca="false">IF(C179="","SIN ASIGNAR","ASIGNADO")</f>
        <v>ASIGNADO</v>
      </c>
      <c r="N179" s="10" t="s">
        <v>995</v>
      </c>
    </row>
    <row r="180" customFormat="false" ht="15" hidden="false" customHeight="false" outlineLevel="0" collapsed="false">
      <c r="A180" s="10" t="n">
        <v>175</v>
      </c>
      <c r="B180" s="10" t="s">
        <v>21</v>
      </c>
      <c r="C180" s="8" t="s">
        <v>716</v>
      </c>
      <c r="D180" s="10" t="str">
        <f aca="false">IF(C180="","",IFERROR(INDEX(NIVEL!$B:$B,MATCH(C180,NIVEL!$A:$A,0)),"¡Código no existe!"))</f>
        <v>Tubería A.C. Sche 10 De ø6"</v>
      </c>
      <c r="E180" s="10" t="str">
        <f aca="false">IF(C180="","",IFERROR(INDEX(NIVEL!$C:$C,MATCH(C180,NIVEL!$A:$A,0)),""))</f>
        <v>Ml.</v>
      </c>
      <c r="F180" s="10" t="s">
        <v>1056</v>
      </c>
      <c r="G180" s="10" t="n">
        <f aca="false">IFERROR(MATCH(F180,LISTAS!$D$2:$D$22,0),99)</f>
        <v>16</v>
      </c>
      <c r="H180" s="13" t="n">
        <v>10.65</v>
      </c>
      <c r="I180" s="10" t="s">
        <v>1060</v>
      </c>
      <c r="J180" s="10"/>
      <c r="K180" s="10" t="s">
        <v>998</v>
      </c>
      <c r="L180" s="10"/>
      <c r="M180" s="10" t="str">
        <f aca="false">IF(C180="","SIN ASIGNAR","ASIGNADO")</f>
        <v>ASIGNADO</v>
      </c>
      <c r="N180" s="10" t="s">
        <v>991</v>
      </c>
    </row>
    <row r="181" customFormat="false" ht="15" hidden="false" customHeight="false" outlineLevel="0" collapsed="false">
      <c r="A181" s="10" t="n">
        <v>176</v>
      </c>
      <c r="B181" s="10" t="s">
        <v>21</v>
      </c>
      <c r="C181" s="8" t="s">
        <v>11</v>
      </c>
      <c r="D181" s="10" t="str">
        <f aca="false">IF(C181="","",IFERROR(INDEX(NIVEL!$B:$B,MATCH(C181,NIVEL!$A:$A,0)),"¡Código no existe!"))</f>
        <v>Tubería A.C. Sche 10 De ø1 1/2"</v>
      </c>
      <c r="E181" s="10" t="str">
        <f aca="false">IF(C181="","",IFERROR(INDEX(NIVEL!$C:$C,MATCH(C181,NIVEL!$A:$A,0)),""))</f>
        <v>Ml.</v>
      </c>
      <c r="F181" s="10" t="s">
        <v>1057</v>
      </c>
      <c r="G181" s="10" t="n">
        <f aca="false">IFERROR(MATCH(F181,LISTAS!$D$2:$D$22,0),99)</f>
        <v>17</v>
      </c>
      <c r="H181" s="13" t="n">
        <v>18.65</v>
      </c>
      <c r="I181" s="10" t="s">
        <v>1060</v>
      </c>
      <c r="J181" s="10"/>
      <c r="K181" s="10" t="s">
        <v>1061</v>
      </c>
      <c r="L181" s="10"/>
      <c r="M181" s="10" t="str">
        <f aca="false">IF(C181="","SIN ASIGNAR","ASIGNADO")</f>
        <v>ASIGNADO</v>
      </c>
      <c r="N181" s="10" t="s">
        <v>991</v>
      </c>
    </row>
    <row r="182" customFormat="false" ht="15" hidden="false" customHeight="false" outlineLevel="0" collapsed="false">
      <c r="A182" s="10" t="n">
        <v>177</v>
      </c>
      <c r="B182" s="10" t="s">
        <v>21</v>
      </c>
      <c r="C182" s="8" t="s">
        <v>11</v>
      </c>
      <c r="D182" s="10" t="str">
        <f aca="false">IF(C182="","",IFERROR(INDEX(NIVEL!$B:$B,MATCH(C182,NIVEL!$A:$A,0)),"¡Código no existe!"))</f>
        <v>Tubería A.C. Sche 10 De ø1 1/2"</v>
      </c>
      <c r="E182" s="10" t="str">
        <f aca="false">IF(C182="","",IFERROR(INDEX(NIVEL!$C:$C,MATCH(C182,NIVEL!$A:$A,0)),""))</f>
        <v>Ml.</v>
      </c>
      <c r="F182" s="10" t="s">
        <v>1057</v>
      </c>
      <c r="G182" s="10" t="n">
        <f aca="false">IFERROR(MATCH(F182,LISTAS!$D$2:$D$22,0),99)</f>
        <v>17</v>
      </c>
      <c r="H182" s="13" t="n">
        <v>0.67</v>
      </c>
      <c r="I182" s="10" t="s">
        <v>1062</v>
      </c>
      <c r="J182" s="10"/>
      <c r="K182" s="10" t="s">
        <v>1061</v>
      </c>
      <c r="L182" s="10"/>
      <c r="M182" s="10" t="str">
        <f aca="false">IF(C182="","SIN ASIGNAR","ASIGNADO")</f>
        <v>ASIGNADO</v>
      </c>
      <c r="N182" s="10" t="s">
        <v>995</v>
      </c>
    </row>
    <row r="183" customFormat="false" ht="15" hidden="false" customHeight="false" outlineLevel="0" collapsed="false">
      <c r="A183" s="10" t="n">
        <v>178</v>
      </c>
      <c r="B183" s="10" t="s">
        <v>21</v>
      </c>
      <c r="C183" s="8" t="s">
        <v>716</v>
      </c>
      <c r="D183" s="10" t="str">
        <f aca="false">IF(C183="","",IFERROR(INDEX(NIVEL!$B:$B,MATCH(C183,NIVEL!$A:$A,0)),"¡Código no existe!"))</f>
        <v>Tubería A.C. Sche 10 De ø6"</v>
      </c>
      <c r="E183" s="10" t="str">
        <f aca="false">IF(C183="","",IFERROR(INDEX(NIVEL!$C:$C,MATCH(C183,NIVEL!$A:$A,0)),""))</f>
        <v>Ml.</v>
      </c>
      <c r="F183" s="10" t="s">
        <v>1057</v>
      </c>
      <c r="G183" s="10" t="n">
        <f aca="false">IFERROR(MATCH(F183,LISTAS!$D$2:$D$22,0),99)</f>
        <v>17</v>
      </c>
      <c r="H183" s="13" t="n">
        <v>6.4</v>
      </c>
      <c r="I183" s="10" t="s">
        <v>1060</v>
      </c>
      <c r="J183" s="10"/>
      <c r="K183" s="10" t="s">
        <v>998</v>
      </c>
      <c r="L183" s="10"/>
      <c r="M183" s="10" t="str">
        <f aca="false">IF(C183="","SIN ASIGNAR","ASIGNADO")</f>
        <v>ASIGNADO</v>
      </c>
      <c r="N183" s="10" t="s">
        <v>991</v>
      </c>
    </row>
    <row r="184" customFormat="false" ht="15" hidden="false" customHeight="false" outlineLevel="0" collapsed="false">
      <c r="A184" s="10" t="n">
        <v>179</v>
      </c>
      <c r="B184" s="10" t="s">
        <v>21</v>
      </c>
      <c r="C184" s="8" t="s">
        <v>11</v>
      </c>
      <c r="D184" s="10" t="str">
        <f aca="false">IF(C184="","",IFERROR(INDEX(NIVEL!$B:$B,MATCH(C184,NIVEL!$A:$A,0)),"¡Código no existe!"))</f>
        <v>Tubería A.C. Sche 10 De ø1 1/2"</v>
      </c>
      <c r="E184" s="10" t="str">
        <f aca="false">IF(C184="","",IFERROR(INDEX(NIVEL!$C:$C,MATCH(C184,NIVEL!$A:$A,0)),""))</f>
        <v>Ml.</v>
      </c>
      <c r="F184" s="10" t="s">
        <v>1058</v>
      </c>
      <c r="G184" s="10" t="n">
        <f aca="false">IFERROR(MATCH(F184,LISTAS!$D$2:$D$22,0),99)</f>
        <v>18</v>
      </c>
      <c r="H184" s="13" t="n">
        <v>18.65</v>
      </c>
      <c r="I184" s="10" t="s">
        <v>1060</v>
      </c>
      <c r="J184" s="10"/>
      <c r="K184" s="10" t="s">
        <v>1061</v>
      </c>
      <c r="L184" s="10"/>
      <c r="M184" s="10" t="str">
        <f aca="false">IF(C184="","SIN ASIGNAR","ASIGNADO")</f>
        <v>ASIGNADO</v>
      </c>
      <c r="N184" s="10" t="s">
        <v>991</v>
      </c>
    </row>
    <row r="185" customFormat="false" ht="15" hidden="false" customHeight="false" outlineLevel="0" collapsed="false">
      <c r="A185" s="10" t="n">
        <v>180</v>
      </c>
      <c r="B185" s="10" t="s">
        <v>21</v>
      </c>
      <c r="C185" s="8" t="s">
        <v>11</v>
      </c>
      <c r="D185" s="10" t="str">
        <f aca="false">IF(C185="","",IFERROR(INDEX(NIVEL!$B:$B,MATCH(C185,NIVEL!$A:$A,0)),"¡Código no existe!"))</f>
        <v>Tubería A.C. Sche 10 De ø1 1/2"</v>
      </c>
      <c r="E185" s="10" t="str">
        <f aca="false">IF(C185="","",IFERROR(INDEX(NIVEL!$C:$C,MATCH(C185,NIVEL!$A:$A,0)),""))</f>
        <v>Ml.</v>
      </c>
      <c r="F185" s="10" t="s">
        <v>1058</v>
      </c>
      <c r="G185" s="10" t="n">
        <f aca="false">IFERROR(MATCH(F185,LISTAS!$D$2:$D$22,0),99)</f>
        <v>18</v>
      </c>
      <c r="H185" s="13" t="n">
        <v>0.67</v>
      </c>
      <c r="I185" s="10" t="s">
        <v>1062</v>
      </c>
      <c r="J185" s="10"/>
      <c r="K185" s="10" t="s">
        <v>1061</v>
      </c>
      <c r="L185" s="10"/>
      <c r="M185" s="10" t="str">
        <f aca="false">IF(C185="","SIN ASIGNAR","ASIGNADO")</f>
        <v>ASIGNADO</v>
      </c>
      <c r="N185" s="10" t="s">
        <v>995</v>
      </c>
    </row>
    <row r="186" customFormat="false" ht="15" hidden="false" customHeight="false" outlineLevel="0" collapsed="false">
      <c r="A186" s="10" t="n">
        <v>181</v>
      </c>
      <c r="B186" s="10" t="s">
        <v>21</v>
      </c>
      <c r="C186" s="8" t="s">
        <v>716</v>
      </c>
      <c r="D186" s="10" t="str">
        <f aca="false">IF(C186="","",IFERROR(INDEX(NIVEL!$B:$B,MATCH(C186,NIVEL!$A:$A,0)),"¡Código no existe!"))</f>
        <v>Tubería A.C. Sche 10 De ø6"</v>
      </c>
      <c r="E186" s="10" t="str">
        <f aca="false">IF(C186="","",IFERROR(INDEX(NIVEL!$C:$C,MATCH(C186,NIVEL!$A:$A,0)),""))</f>
        <v>Ml.</v>
      </c>
      <c r="F186" s="10" t="s">
        <v>1058</v>
      </c>
      <c r="G186" s="10" t="n">
        <f aca="false">IFERROR(MATCH(F186,LISTAS!$D$2:$D$22,0),99)</f>
        <v>18</v>
      </c>
      <c r="H186" s="13" t="n">
        <v>6.4</v>
      </c>
      <c r="I186" s="10" t="s">
        <v>1060</v>
      </c>
      <c r="J186" s="10"/>
      <c r="K186" s="10" t="s">
        <v>998</v>
      </c>
      <c r="L186" s="10"/>
      <c r="M186" s="10" t="str">
        <f aca="false">IF(C186="","SIN ASIGNAR","ASIGNADO")</f>
        <v>ASIGNADO</v>
      </c>
      <c r="N186" s="10" t="s">
        <v>991</v>
      </c>
    </row>
    <row r="187" customFormat="false" ht="15" hidden="false" customHeight="false" outlineLevel="0" collapsed="false">
      <c r="A187" s="10" t="n">
        <v>182</v>
      </c>
      <c r="B187" s="10" t="s">
        <v>21</v>
      </c>
      <c r="C187" s="8" t="s">
        <v>11</v>
      </c>
      <c r="D187" s="10" t="str">
        <f aca="false">IF(C187="","",IFERROR(INDEX(NIVEL!$B:$B,MATCH(C187,NIVEL!$A:$A,0)),"¡Código no existe!"))</f>
        <v>Tubería A.C. Sche 10 De ø1 1/2"</v>
      </c>
      <c r="E187" s="10" t="str">
        <f aca="false">IF(C187="","",IFERROR(INDEX(NIVEL!$C:$C,MATCH(C187,NIVEL!$A:$A,0)),""))</f>
        <v>Ml.</v>
      </c>
      <c r="F187" s="10" t="s">
        <v>1018</v>
      </c>
      <c r="G187" s="10" t="n">
        <f aca="false">IFERROR(MATCH(F187,LISTAS!$D$2:$D$22,0),99)</f>
        <v>19</v>
      </c>
      <c r="H187" s="13" t="n">
        <v>18.65</v>
      </c>
      <c r="I187" s="10" t="s">
        <v>1060</v>
      </c>
      <c r="J187" s="10"/>
      <c r="K187" s="10" t="s">
        <v>1061</v>
      </c>
      <c r="L187" s="10"/>
      <c r="M187" s="10" t="str">
        <f aca="false">IF(C187="","SIN ASIGNAR","ASIGNADO")</f>
        <v>ASIGNADO</v>
      </c>
      <c r="N187" s="10" t="s">
        <v>991</v>
      </c>
    </row>
    <row r="188" customFormat="false" ht="15" hidden="false" customHeight="false" outlineLevel="0" collapsed="false">
      <c r="A188" s="10" t="n">
        <v>183</v>
      </c>
      <c r="B188" s="10" t="s">
        <v>21</v>
      </c>
      <c r="C188" s="8" t="s">
        <v>11</v>
      </c>
      <c r="D188" s="10" t="str">
        <f aca="false">IF(C188="","",IFERROR(INDEX(NIVEL!$B:$B,MATCH(C188,NIVEL!$A:$A,0)),"¡Código no existe!"))</f>
        <v>Tubería A.C. Sche 10 De ø1 1/2"</v>
      </c>
      <c r="E188" s="10" t="str">
        <f aca="false">IF(C188="","",IFERROR(INDEX(NIVEL!$C:$C,MATCH(C188,NIVEL!$A:$A,0)),""))</f>
        <v>Ml.</v>
      </c>
      <c r="F188" s="10" t="s">
        <v>1018</v>
      </c>
      <c r="G188" s="10" t="n">
        <f aca="false">IFERROR(MATCH(F188,LISTAS!$D$2:$D$22,0),99)</f>
        <v>19</v>
      </c>
      <c r="H188" s="13" t="n">
        <v>0.67</v>
      </c>
      <c r="I188" s="10" t="s">
        <v>1062</v>
      </c>
      <c r="J188" s="10"/>
      <c r="K188" s="10" t="s">
        <v>1061</v>
      </c>
      <c r="L188" s="10"/>
      <c r="M188" s="10" t="str">
        <f aca="false">IF(C188="","SIN ASIGNAR","ASIGNADO")</f>
        <v>ASIGNADO</v>
      </c>
      <c r="N188" s="10" t="s">
        <v>995</v>
      </c>
    </row>
    <row r="189" customFormat="false" ht="15" hidden="false" customHeight="false" outlineLevel="0" collapsed="false">
      <c r="A189" s="10" t="n">
        <v>184</v>
      </c>
      <c r="B189" s="10" t="s">
        <v>21</v>
      </c>
      <c r="C189" s="8" t="s">
        <v>703</v>
      </c>
      <c r="D189" s="10" t="str">
        <f aca="false">IF(C189="","",IFERROR(INDEX(NIVEL!$B:$B,MATCH(C189,NIVEL!$A:$A,0)),"¡Código no existe!"))</f>
        <v>Tubería A.C. Sche 10 De ø1"</v>
      </c>
      <c r="E189" s="10" t="str">
        <f aca="false">IF(C189="","",IFERROR(INDEX(NIVEL!$C:$C,MATCH(C189,NIVEL!$A:$A,0)),""))</f>
        <v>Ml.</v>
      </c>
      <c r="F189" s="10" t="s">
        <v>1018</v>
      </c>
      <c r="G189" s="10" t="n">
        <f aca="false">IFERROR(MATCH(F189,LISTAS!$D$2:$D$22,0),99)</f>
        <v>19</v>
      </c>
      <c r="H189" s="13" t="n">
        <v>12.14</v>
      </c>
      <c r="I189" s="10" t="s">
        <v>1060</v>
      </c>
      <c r="J189" s="10"/>
      <c r="K189" s="10" t="s">
        <v>1025</v>
      </c>
      <c r="L189" s="10"/>
      <c r="M189" s="10" t="str">
        <f aca="false">IF(C189="","SIN ASIGNAR","ASIGNADO")</f>
        <v>ASIGNADO</v>
      </c>
      <c r="N189" s="10" t="s">
        <v>991</v>
      </c>
    </row>
    <row r="190" customFormat="false" ht="15" hidden="false" customHeight="false" outlineLevel="0" collapsed="false">
      <c r="A190" s="10" t="n">
        <v>185</v>
      </c>
      <c r="B190" s="10" t="s">
        <v>21</v>
      </c>
      <c r="C190" s="8" t="s">
        <v>708</v>
      </c>
      <c r="D190" s="10" t="str">
        <f aca="false">IF(C190="","",IFERROR(INDEX(NIVEL!$B:$B,MATCH(C190,NIVEL!$A:$A,0)),"¡Código no existe!"))</f>
        <v>Tubería A.C. Sche 10 De ø2"</v>
      </c>
      <c r="E190" s="10" t="str">
        <f aca="false">IF(C190="","",IFERROR(INDEX(NIVEL!$C:$C,MATCH(C190,NIVEL!$A:$A,0)),""))</f>
        <v>Ml.</v>
      </c>
      <c r="F190" s="10" t="s">
        <v>1018</v>
      </c>
      <c r="G190" s="10" t="n">
        <f aca="false">IFERROR(MATCH(F190,LISTAS!$D$2:$D$22,0),99)</f>
        <v>19</v>
      </c>
      <c r="H190" s="13" t="n">
        <v>0.53</v>
      </c>
      <c r="I190" s="10" t="s">
        <v>1060</v>
      </c>
      <c r="J190" s="10"/>
      <c r="K190" s="10" t="s">
        <v>1063</v>
      </c>
      <c r="L190" s="10"/>
      <c r="M190" s="10" t="str">
        <f aca="false">IF(C190="","SIN ASIGNAR","ASIGNADO")</f>
        <v>ASIGNADO</v>
      </c>
      <c r="N190" s="10" t="s">
        <v>995</v>
      </c>
    </row>
    <row r="191" customFormat="false" ht="15" hidden="false" customHeight="false" outlineLevel="0" collapsed="false">
      <c r="A191" s="10" t="n">
        <v>186</v>
      </c>
      <c r="B191" s="10" t="s">
        <v>21</v>
      </c>
      <c r="C191" s="8" t="s">
        <v>716</v>
      </c>
      <c r="D191" s="10" t="str">
        <f aca="false">IF(C191="","",IFERROR(INDEX(NIVEL!$B:$B,MATCH(C191,NIVEL!$A:$A,0)),"¡Código no existe!"))</f>
        <v>Tubería A.C. Sche 10 De ø6"</v>
      </c>
      <c r="E191" s="10" t="str">
        <f aca="false">IF(C191="","",IFERROR(INDEX(NIVEL!$C:$C,MATCH(C191,NIVEL!$A:$A,0)),""))</f>
        <v>Ml.</v>
      </c>
      <c r="F191" s="10" t="s">
        <v>1018</v>
      </c>
      <c r="G191" s="10" t="n">
        <f aca="false">IFERROR(MATCH(F191,LISTAS!$D$2:$D$22,0),99)</f>
        <v>19</v>
      </c>
      <c r="H191" s="13" t="n">
        <v>7.28</v>
      </c>
      <c r="I191" s="10" t="s">
        <v>1060</v>
      </c>
      <c r="J191" s="10"/>
      <c r="K191" s="10" t="s">
        <v>998</v>
      </c>
      <c r="L191" s="10"/>
      <c r="M191" s="10" t="str">
        <f aca="false">IF(C191="","SIN ASIGNAR","ASIGNADO")</f>
        <v>ASIGNADO</v>
      </c>
      <c r="N191" s="10" t="s">
        <v>991</v>
      </c>
    </row>
    <row r="192" customFormat="false" ht="15" hidden="false" customHeight="false" outlineLevel="0" collapsed="false">
      <c r="A192" s="10" t="n">
        <v>187</v>
      </c>
      <c r="B192" s="10" t="s">
        <v>21</v>
      </c>
      <c r="C192" s="8" t="s">
        <v>11</v>
      </c>
      <c r="D192" s="10" t="str">
        <f aca="false">IF(C192="","",IFERROR(INDEX(NIVEL!$B:$B,MATCH(C192,NIVEL!$A:$A,0)),"¡Código no existe!"))</f>
        <v>Tubería A.C. Sche 10 De ø1 1/2"</v>
      </c>
      <c r="E192" s="10" t="str">
        <f aca="false">IF(C192="","",IFERROR(INDEX(NIVEL!$C:$C,MATCH(C192,NIVEL!$A:$A,0)),""))</f>
        <v>Ml.</v>
      </c>
      <c r="F192" s="10" t="s">
        <v>1022</v>
      </c>
      <c r="G192" s="10" t="n">
        <f aca="false">IFERROR(MATCH(F192,LISTAS!$D$2:$D$22,0),99)</f>
        <v>20</v>
      </c>
      <c r="H192" s="13" t="n">
        <v>18.65</v>
      </c>
      <c r="I192" s="10" t="s">
        <v>1060</v>
      </c>
      <c r="J192" s="10"/>
      <c r="K192" s="10" t="s">
        <v>1061</v>
      </c>
      <c r="L192" s="10"/>
      <c r="M192" s="10" t="str">
        <f aca="false">IF(C192="","SIN ASIGNAR","ASIGNADO")</f>
        <v>ASIGNADO</v>
      </c>
      <c r="N192" s="10" t="s">
        <v>991</v>
      </c>
    </row>
    <row r="193" customFormat="false" ht="15" hidden="false" customHeight="false" outlineLevel="0" collapsed="false">
      <c r="A193" s="10" t="n">
        <v>188</v>
      </c>
      <c r="B193" s="10" t="s">
        <v>21</v>
      </c>
      <c r="C193" s="8" t="s">
        <v>716</v>
      </c>
      <c r="D193" s="10" t="str">
        <f aca="false">IF(C193="","",IFERROR(INDEX(NIVEL!$B:$B,MATCH(C193,NIVEL!$A:$A,0)),"¡Código no existe!"))</f>
        <v>Tubería A.C. Sche 10 De ø6"</v>
      </c>
      <c r="E193" s="10" t="str">
        <f aca="false">IF(C193="","",IFERROR(INDEX(NIVEL!$C:$C,MATCH(C193,NIVEL!$A:$A,0)),""))</f>
        <v>Ml.</v>
      </c>
      <c r="F193" s="10" t="s">
        <v>1022</v>
      </c>
      <c r="G193" s="10" t="n">
        <f aca="false">IFERROR(MATCH(F193,LISTAS!$D$2:$D$22,0),99)</f>
        <v>20</v>
      </c>
      <c r="H193" s="13" t="n">
        <v>6.4</v>
      </c>
      <c r="I193" s="10" t="s">
        <v>1060</v>
      </c>
      <c r="J193" s="10"/>
      <c r="K193" s="10" t="s">
        <v>998</v>
      </c>
      <c r="L193" s="10"/>
      <c r="M193" s="10" t="str">
        <f aca="false">IF(C193="","SIN ASIGNAR","ASIGNADO")</f>
        <v>ASIGNADO</v>
      </c>
      <c r="N193" s="10" t="s">
        <v>991</v>
      </c>
    </row>
    <row r="194" customFormat="false" ht="15" hidden="false" customHeight="false" outlineLevel="0" collapsed="false">
      <c r="A194" s="10" t="n">
        <v>189</v>
      </c>
      <c r="B194" s="10" t="s">
        <v>21</v>
      </c>
      <c r="C194" s="8" t="s">
        <v>11</v>
      </c>
      <c r="D194" s="10" t="str">
        <f aca="false">IF(C194="","",IFERROR(INDEX(NIVEL!$B:$B,MATCH(C194,NIVEL!$A:$A,0)),"¡Código no existe!"))</f>
        <v>Tubería A.C. Sche 10 De ø1 1/2"</v>
      </c>
      <c r="E194" s="10" t="str">
        <f aca="false">IF(C194="","",IFERROR(INDEX(NIVEL!$C:$C,MATCH(C194,NIVEL!$A:$A,0)),""))</f>
        <v>Ml.</v>
      </c>
      <c r="F194" s="10" t="s">
        <v>1059</v>
      </c>
      <c r="G194" s="10" t="n">
        <f aca="false">IFERROR(MATCH(F194,LISTAS!$D$2:$D$22,0),99)</f>
        <v>21</v>
      </c>
      <c r="H194" s="13" t="n">
        <v>12.31</v>
      </c>
      <c r="I194" s="10" t="s">
        <v>1060</v>
      </c>
      <c r="J194" s="10"/>
      <c r="K194" s="10" t="s">
        <v>1061</v>
      </c>
      <c r="L194" s="10"/>
      <c r="M194" s="10" t="str">
        <f aca="false">IF(C194="","SIN ASIGNAR","ASIGNADO")</f>
        <v>ASIGNADO</v>
      </c>
      <c r="N194" s="10" t="s">
        <v>991</v>
      </c>
    </row>
    <row r="195" customFormat="false" ht="15" hidden="false" customHeight="false" outlineLevel="0" collapsed="false">
      <c r="A195" s="10" t="n">
        <v>190</v>
      </c>
      <c r="B195" s="10" t="s">
        <v>25</v>
      </c>
      <c r="C195" s="8" t="s">
        <v>821</v>
      </c>
      <c r="D195" s="10" t="str">
        <f aca="false">IF(C195="","",IFERROR(INDEX(NIVEL!$B:$B,MATCH(C195,NIVEL!$A:$A,0)),"¡Código no existe!"))</f>
        <v>Codo A.G. SCH-40</v>
      </c>
      <c r="E195" s="10" t="str">
        <f aca="false">IF(C195="","",IFERROR(INDEX(NIVEL!$C:$C,MATCH(C195,NIVEL!$A:$A,0)),""))</f>
        <v>Un.</v>
      </c>
      <c r="F195" s="10" t="s">
        <v>987</v>
      </c>
      <c r="G195" s="10" t="n">
        <f aca="false">IFERROR(MATCH(F195,LISTAS!$D$2:$D$22,0),99)</f>
        <v>1</v>
      </c>
      <c r="H195" s="13" t="n">
        <v>1</v>
      </c>
      <c r="I195" s="10" t="s">
        <v>1068</v>
      </c>
      <c r="J195" s="10" t="s">
        <v>1069</v>
      </c>
      <c r="K195" s="10" t="s">
        <v>1021</v>
      </c>
      <c r="L195" s="10"/>
      <c r="M195" s="10" t="str">
        <f aca="false">IF(C195="","SIN ASIGNAR","ASIGNADO")</f>
        <v>ASIGNADO</v>
      </c>
      <c r="N195" s="10" t="s">
        <v>991</v>
      </c>
    </row>
    <row r="196" customFormat="false" ht="15" hidden="false" customHeight="false" outlineLevel="0" collapsed="false">
      <c r="A196" s="10" t="n">
        <v>191</v>
      </c>
      <c r="B196" s="10" t="s">
        <v>25</v>
      </c>
      <c r="C196" s="8" t="s">
        <v>819</v>
      </c>
      <c r="D196" s="10" t="str">
        <f aca="false">IF(C196="","",IFERROR(INDEX(NIVEL!$B:$B,MATCH(C196,NIVEL!$A:$A,0)),"¡Código no existe!"))</f>
        <v>Codo A.C. SCH-10</v>
      </c>
      <c r="E196" s="10" t="str">
        <f aca="false">IF(C196="","",IFERROR(INDEX(NIVEL!$C:$C,MATCH(C196,NIVEL!$A:$A,0)),""))</f>
        <v>Un.</v>
      </c>
      <c r="F196" s="10" t="s">
        <v>987</v>
      </c>
      <c r="G196" s="10" t="n">
        <f aca="false">IFERROR(MATCH(F196,LISTAS!$D$2:$D$22,0),99)</f>
        <v>1</v>
      </c>
      <c r="H196" s="13" t="n">
        <v>3</v>
      </c>
      <c r="I196" s="10" t="s">
        <v>1070</v>
      </c>
      <c r="J196" s="10" t="s">
        <v>1071</v>
      </c>
      <c r="K196" s="10" t="s">
        <v>1001</v>
      </c>
      <c r="L196" s="10"/>
      <c r="M196" s="10" t="str">
        <f aca="false">IF(C196="","SIN ASIGNAR","ASIGNADO")</f>
        <v>ASIGNADO</v>
      </c>
      <c r="N196" s="10" t="s">
        <v>991</v>
      </c>
    </row>
    <row r="197" customFormat="false" ht="15" hidden="false" customHeight="false" outlineLevel="0" collapsed="false">
      <c r="A197" s="10" t="n">
        <v>192</v>
      </c>
      <c r="B197" s="10" t="s">
        <v>25</v>
      </c>
      <c r="C197" s="8" t="s">
        <v>827</v>
      </c>
      <c r="D197" s="10" t="str">
        <f aca="false">IF(C197="","",IFERROR(INDEX(NIVEL!$B:$B,MATCH(C197,NIVEL!$A:$A,0)),"¡Código no existe!"))</f>
        <v>Tee A.G. SCH-40 D=3"</v>
      </c>
      <c r="E197" s="10" t="str">
        <f aca="false">IF(C197="","",IFERROR(INDEX(NIVEL!$C:$C,MATCH(C197,NIVEL!$A:$A,0)),""))</f>
        <v>Un.</v>
      </c>
      <c r="F197" s="10" t="s">
        <v>1031</v>
      </c>
      <c r="G197" s="10" t="n">
        <f aca="false">IFERROR(MATCH(F197,LISTAS!$D$2:$D$22,0),99)</f>
        <v>2</v>
      </c>
      <c r="H197" s="13" t="n">
        <v>1</v>
      </c>
      <c r="I197" s="10" t="s">
        <v>1072</v>
      </c>
      <c r="J197" s="10"/>
      <c r="K197" s="10" t="s">
        <v>1073</v>
      </c>
      <c r="L197" s="10"/>
      <c r="M197" s="10" t="str">
        <f aca="false">IF(C197="","SIN ASIGNAR","ASIGNADO")</f>
        <v>ASIGNADO</v>
      </c>
      <c r="N197" s="10" t="s">
        <v>995</v>
      </c>
    </row>
    <row r="198" customFormat="false" ht="15" hidden="false" customHeight="false" outlineLevel="0" collapsed="false">
      <c r="A198" s="10" t="n">
        <v>193</v>
      </c>
      <c r="B198" s="10" t="s">
        <v>25</v>
      </c>
      <c r="C198" s="8" t="s">
        <v>827</v>
      </c>
      <c r="D198" s="10" t="str">
        <f aca="false">IF(C198="","",IFERROR(INDEX(NIVEL!$B:$B,MATCH(C198,NIVEL!$A:$A,0)),"¡Código no existe!"))</f>
        <v>Tee A.G. SCH-40 D=3"</v>
      </c>
      <c r="E198" s="10" t="str">
        <f aca="false">IF(C198="","",IFERROR(INDEX(NIVEL!$C:$C,MATCH(C198,NIVEL!$A:$A,0)),""))</f>
        <v>Un.</v>
      </c>
      <c r="F198" s="10" t="s">
        <v>1008</v>
      </c>
      <c r="G198" s="10" t="n">
        <f aca="false">IFERROR(MATCH(F198,LISTAS!$D$2:$D$22,0),99)</f>
        <v>3</v>
      </c>
      <c r="H198" s="13" t="n">
        <v>3</v>
      </c>
      <c r="I198" s="10" t="s">
        <v>1072</v>
      </c>
      <c r="J198" s="10"/>
      <c r="K198" s="10" t="s">
        <v>1073</v>
      </c>
      <c r="L198" s="10"/>
      <c r="M198" s="10" t="str">
        <f aca="false">IF(C198="","SIN ASIGNAR","ASIGNADO")</f>
        <v>ASIGNADO</v>
      </c>
      <c r="N198" s="10" t="s">
        <v>995</v>
      </c>
    </row>
    <row r="199" customFormat="false" ht="15" hidden="false" customHeight="false" outlineLevel="0" collapsed="false">
      <c r="A199" s="10" t="n">
        <v>194</v>
      </c>
      <c r="B199" s="10" t="s">
        <v>25</v>
      </c>
      <c r="C199" s="8" t="s">
        <v>827</v>
      </c>
      <c r="D199" s="10" t="str">
        <f aca="false">IF(C199="","",IFERROR(INDEX(NIVEL!$B:$B,MATCH(C199,NIVEL!$A:$A,0)),"¡Código no existe!"))</f>
        <v>Tee A.G. SCH-40 D=3"</v>
      </c>
      <c r="E199" s="10" t="str">
        <f aca="false">IF(C199="","",IFERROR(INDEX(NIVEL!$C:$C,MATCH(C199,NIVEL!$A:$A,0)),""))</f>
        <v>Un.</v>
      </c>
      <c r="F199" s="10" t="s">
        <v>1011</v>
      </c>
      <c r="G199" s="10" t="n">
        <f aca="false">IFERROR(MATCH(F199,LISTAS!$D$2:$D$22,0),99)</f>
        <v>4</v>
      </c>
      <c r="H199" s="13" t="n">
        <v>2</v>
      </c>
      <c r="I199" s="10" t="s">
        <v>1072</v>
      </c>
      <c r="J199" s="10"/>
      <c r="K199" s="10" t="s">
        <v>1073</v>
      </c>
      <c r="L199" s="10"/>
      <c r="M199" s="10" t="str">
        <f aca="false">IF(C199="","SIN ASIGNAR","ASIGNADO")</f>
        <v>ASIGNADO</v>
      </c>
      <c r="N199" s="10" t="s">
        <v>995</v>
      </c>
    </row>
    <row r="200" customFormat="false" ht="15" hidden="false" customHeight="false" outlineLevel="0" collapsed="false">
      <c r="A200" s="10" t="n">
        <v>195</v>
      </c>
      <c r="B200" s="10" t="s">
        <v>25</v>
      </c>
      <c r="C200" s="8" t="s">
        <v>827</v>
      </c>
      <c r="D200" s="10" t="str">
        <f aca="false">IF(C200="","",IFERROR(INDEX(NIVEL!$B:$B,MATCH(C200,NIVEL!$A:$A,0)),"¡Código no existe!"))</f>
        <v>Tee A.G. SCH-40 D=3"</v>
      </c>
      <c r="E200" s="10" t="str">
        <f aca="false">IF(C200="","",IFERROR(INDEX(NIVEL!$C:$C,MATCH(C200,NIVEL!$A:$A,0)),""))</f>
        <v>Un.</v>
      </c>
      <c r="F200" s="10" t="s">
        <v>1012</v>
      </c>
      <c r="G200" s="10" t="n">
        <f aca="false">IFERROR(MATCH(F200,LISTAS!$D$2:$D$22,0),99)</f>
        <v>5</v>
      </c>
      <c r="H200" s="13" t="n">
        <v>1</v>
      </c>
      <c r="I200" s="10" t="s">
        <v>1072</v>
      </c>
      <c r="J200" s="10"/>
      <c r="K200" s="10" t="s">
        <v>1073</v>
      </c>
      <c r="L200" s="10"/>
      <c r="M200" s="10" t="str">
        <f aca="false">IF(C200="","SIN ASIGNAR","ASIGNADO")</f>
        <v>ASIGNADO</v>
      </c>
      <c r="N200" s="10" t="s">
        <v>995</v>
      </c>
    </row>
    <row r="201" customFormat="false" ht="15" hidden="false" customHeight="false" outlineLevel="0" collapsed="false">
      <c r="A201" s="10" t="n">
        <v>196</v>
      </c>
      <c r="B201" s="10" t="s">
        <v>25</v>
      </c>
      <c r="C201" s="8" t="s">
        <v>827</v>
      </c>
      <c r="D201" s="10" t="str">
        <f aca="false">IF(C201="","",IFERROR(INDEX(NIVEL!$B:$B,MATCH(C201,NIVEL!$A:$A,0)),"¡Código no existe!"))</f>
        <v>Tee A.G. SCH-40 D=3"</v>
      </c>
      <c r="E201" s="10" t="str">
        <f aca="false">IF(C201="","",IFERROR(INDEX(NIVEL!$C:$C,MATCH(C201,NIVEL!$A:$A,0)),""))</f>
        <v>Un.</v>
      </c>
      <c r="F201" s="10" t="s">
        <v>1013</v>
      </c>
      <c r="G201" s="10" t="n">
        <f aca="false">IFERROR(MATCH(F201,LISTAS!$D$2:$D$22,0),99)</f>
        <v>6</v>
      </c>
      <c r="H201" s="13" t="n">
        <v>5</v>
      </c>
      <c r="I201" s="10" t="s">
        <v>1072</v>
      </c>
      <c r="J201" s="10"/>
      <c r="K201" s="10" t="s">
        <v>1073</v>
      </c>
      <c r="L201" s="10"/>
      <c r="M201" s="10" t="str">
        <f aca="false">IF(C201="","SIN ASIGNAR","ASIGNADO")</f>
        <v>ASIGNADO</v>
      </c>
      <c r="N201" s="10" t="s">
        <v>995</v>
      </c>
    </row>
    <row r="202" customFormat="false" ht="15" hidden="false" customHeight="false" outlineLevel="0" collapsed="false">
      <c r="A202" s="10" t="n">
        <v>197</v>
      </c>
      <c r="B202" s="10" t="s">
        <v>25</v>
      </c>
      <c r="C202" s="8" t="s">
        <v>827</v>
      </c>
      <c r="D202" s="10" t="str">
        <f aca="false">IF(C202="","",IFERROR(INDEX(NIVEL!$B:$B,MATCH(C202,NIVEL!$A:$A,0)),"¡Código no existe!"))</f>
        <v>Tee A.G. SCH-40 D=3"</v>
      </c>
      <c r="E202" s="10" t="str">
        <f aca="false">IF(C202="","",IFERROR(INDEX(NIVEL!$C:$C,MATCH(C202,NIVEL!$A:$A,0)),""))</f>
        <v>Un.</v>
      </c>
      <c r="F202" s="10" t="s">
        <v>1014</v>
      </c>
      <c r="G202" s="10" t="n">
        <f aca="false">IFERROR(MATCH(F202,LISTAS!$D$2:$D$22,0),99)</f>
        <v>7</v>
      </c>
      <c r="H202" s="13" t="n">
        <v>3</v>
      </c>
      <c r="I202" s="10" t="s">
        <v>1072</v>
      </c>
      <c r="J202" s="10"/>
      <c r="K202" s="10" t="s">
        <v>1073</v>
      </c>
      <c r="L202" s="10"/>
      <c r="M202" s="10" t="str">
        <f aca="false">IF(C202="","SIN ASIGNAR","ASIGNADO")</f>
        <v>ASIGNADO</v>
      </c>
      <c r="N202" s="10" t="s">
        <v>995</v>
      </c>
    </row>
    <row r="203" customFormat="false" ht="15" hidden="false" customHeight="false" outlineLevel="0" collapsed="false">
      <c r="A203" s="10" t="n">
        <v>198</v>
      </c>
      <c r="B203" s="10" t="s">
        <v>25</v>
      </c>
      <c r="C203" s="8" t="s">
        <v>825</v>
      </c>
      <c r="D203" s="10" t="str">
        <f aca="false">IF(C203="","",IFERROR(INDEX(NIVEL!$B:$B,MATCH(C203,NIVEL!$A:$A,0)),"¡Código no existe!"))</f>
        <v>Tee A.G. SCH-40</v>
      </c>
      <c r="E203" s="10" t="str">
        <f aca="false">IF(C203="","",IFERROR(INDEX(NIVEL!$C:$C,MATCH(C203,NIVEL!$A:$A,0)),""))</f>
        <v>Un.</v>
      </c>
      <c r="F203" s="10" t="s">
        <v>1017</v>
      </c>
      <c r="G203" s="10" t="n">
        <f aca="false">IFERROR(MATCH(F203,LISTAS!$D$2:$D$22,0),99)</f>
        <v>8</v>
      </c>
      <c r="H203" s="13" t="n">
        <v>1</v>
      </c>
      <c r="I203" s="10" t="s">
        <v>1072</v>
      </c>
      <c r="J203" s="10"/>
      <c r="K203" s="10" t="s">
        <v>1074</v>
      </c>
      <c r="L203" s="10"/>
      <c r="M203" s="10" t="str">
        <f aca="false">IF(C203="","SIN ASIGNAR","ASIGNADO")</f>
        <v>ASIGNADO</v>
      </c>
      <c r="N203" s="10" t="s">
        <v>995</v>
      </c>
    </row>
    <row r="204" customFormat="false" ht="15" hidden="false" customHeight="false" outlineLevel="0" collapsed="false">
      <c r="A204" s="10" t="n">
        <v>199</v>
      </c>
      <c r="B204" s="10" t="s">
        <v>25</v>
      </c>
      <c r="C204" s="8" t="s">
        <v>823</v>
      </c>
      <c r="D204" s="10" t="str">
        <f aca="false">IF(C204="","",IFERROR(INDEX(NIVEL!$B:$B,MATCH(C204,NIVEL!$A:$A,0)),"¡Código no existe!"))</f>
        <v>Tee A.C. SCH-10 D=6"</v>
      </c>
      <c r="E204" s="10" t="str">
        <f aca="false">IF(C204="","",IFERROR(INDEX(NIVEL!$C:$C,MATCH(C204,NIVEL!$A:$A,0)),""))</f>
        <v>Un.</v>
      </c>
      <c r="F204" s="10" t="s">
        <v>987</v>
      </c>
      <c r="G204" s="10" t="n">
        <f aca="false">IFERROR(MATCH(F204,LISTAS!$D$2:$D$22,0),99)</f>
        <v>1</v>
      </c>
      <c r="H204" s="13" t="n">
        <v>3</v>
      </c>
      <c r="I204" s="10" t="s">
        <v>1075</v>
      </c>
      <c r="J204" s="10" t="s">
        <v>1076</v>
      </c>
      <c r="K204" s="10" t="s">
        <v>1077</v>
      </c>
      <c r="L204" s="10"/>
      <c r="M204" s="10" t="str">
        <f aca="false">IF(C204="","SIN ASIGNAR","ASIGNADO")</f>
        <v>ASIGNADO</v>
      </c>
      <c r="N204" s="10" t="s">
        <v>991</v>
      </c>
    </row>
    <row r="205" customFormat="false" ht="15" hidden="false" customHeight="false" outlineLevel="0" collapsed="false">
      <c r="A205" s="10" t="n">
        <v>200</v>
      </c>
      <c r="B205" s="10" t="s">
        <v>25</v>
      </c>
      <c r="C205" s="8" t="s">
        <v>819</v>
      </c>
      <c r="D205" s="10" t="str">
        <f aca="false">IF(C205="","",IFERROR(INDEX(NIVEL!$B:$B,MATCH(C205,NIVEL!$A:$A,0)),"¡Código no existe!"))</f>
        <v>Codo A.C. SCH-10</v>
      </c>
      <c r="E205" s="10" t="str">
        <f aca="false">IF(C205="","",IFERROR(INDEX(NIVEL!$C:$C,MATCH(C205,NIVEL!$A:$A,0)),""))</f>
        <v>Un.</v>
      </c>
      <c r="F205" s="10" t="s">
        <v>987</v>
      </c>
      <c r="G205" s="10" t="n">
        <f aca="false">IFERROR(MATCH(F205,LISTAS!$D$2:$D$22,0),99)</f>
        <v>1</v>
      </c>
      <c r="H205" s="13" t="n">
        <v>2</v>
      </c>
      <c r="I205" s="10" t="s">
        <v>1078</v>
      </c>
      <c r="J205" s="10" t="s">
        <v>1071</v>
      </c>
      <c r="K205" s="10" t="s">
        <v>990</v>
      </c>
      <c r="L205" s="10"/>
      <c r="M205" s="10" t="str">
        <f aca="false">IF(C205="","SIN ASIGNAR","ASIGNADO")</f>
        <v>ASIGNADO</v>
      </c>
      <c r="N205" s="10" t="s">
        <v>991</v>
      </c>
    </row>
    <row r="206" customFormat="false" ht="15" hidden="false" customHeight="false" outlineLevel="0" collapsed="false">
      <c r="A206" s="10" t="n">
        <v>201</v>
      </c>
      <c r="B206" s="10" t="s">
        <v>25</v>
      </c>
      <c r="C206" s="8" t="s">
        <v>819</v>
      </c>
      <c r="D206" s="10" t="str">
        <f aca="false">IF(C206="","",IFERROR(INDEX(NIVEL!$B:$B,MATCH(C206,NIVEL!$A:$A,0)),"¡Código no existe!"))</f>
        <v>Codo A.C. SCH-10</v>
      </c>
      <c r="E206" s="10" t="str">
        <f aca="false">IF(C206="","",IFERROR(INDEX(NIVEL!$C:$C,MATCH(C206,NIVEL!$A:$A,0)),""))</f>
        <v>Un.</v>
      </c>
      <c r="F206" s="10" t="s">
        <v>987</v>
      </c>
      <c r="G206" s="10" t="n">
        <f aca="false">IFERROR(MATCH(F206,LISTAS!$D$2:$D$22,0),99)</f>
        <v>1</v>
      </c>
      <c r="H206" s="13" t="n">
        <v>2</v>
      </c>
      <c r="I206" s="10" t="s">
        <v>1078</v>
      </c>
      <c r="J206" s="10" t="s">
        <v>1071</v>
      </c>
      <c r="K206" s="10" t="s">
        <v>1016</v>
      </c>
      <c r="L206" s="10"/>
      <c r="M206" s="10" t="str">
        <f aca="false">IF(C206="","SIN ASIGNAR","ASIGNADO")</f>
        <v>ASIGNADO</v>
      </c>
      <c r="N206" s="10" t="s">
        <v>991</v>
      </c>
    </row>
    <row r="207" customFormat="false" ht="15" hidden="false" customHeight="false" outlineLevel="0" collapsed="false">
      <c r="A207" s="10" t="n">
        <v>202</v>
      </c>
      <c r="B207" s="10" t="s">
        <v>25</v>
      </c>
      <c r="C207" s="8" t="s">
        <v>819</v>
      </c>
      <c r="D207" s="10" t="str">
        <f aca="false">IF(C207="","",IFERROR(INDEX(NIVEL!$B:$B,MATCH(C207,NIVEL!$A:$A,0)),"¡Código no existe!"))</f>
        <v>Codo A.C. SCH-10</v>
      </c>
      <c r="E207" s="10" t="str">
        <f aca="false">IF(C207="","",IFERROR(INDEX(NIVEL!$C:$C,MATCH(C207,NIVEL!$A:$A,0)),""))</f>
        <v>Un.</v>
      </c>
      <c r="F207" s="10" t="s">
        <v>987</v>
      </c>
      <c r="G207" s="10" t="n">
        <f aca="false">IFERROR(MATCH(F207,LISTAS!$D$2:$D$22,0),99)</f>
        <v>1</v>
      </c>
      <c r="H207" s="13" t="n">
        <v>23</v>
      </c>
      <c r="I207" s="10" t="s">
        <v>1078</v>
      </c>
      <c r="J207" s="10" t="s">
        <v>1071</v>
      </c>
      <c r="K207" s="10" t="s">
        <v>1001</v>
      </c>
      <c r="L207" s="10"/>
      <c r="M207" s="10" t="str">
        <f aca="false">IF(C207="","SIN ASIGNAR","ASIGNADO")</f>
        <v>ASIGNADO</v>
      </c>
      <c r="N207" s="10" t="s">
        <v>991</v>
      </c>
    </row>
    <row r="208" customFormat="false" ht="15" hidden="false" customHeight="false" outlineLevel="0" collapsed="false">
      <c r="A208" s="10" t="n">
        <v>203</v>
      </c>
      <c r="B208" s="10" t="s">
        <v>25</v>
      </c>
      <c r="C208" s="8" t="s">
        <v>819</v>
      </c>
      <c r="D208" s="10" t="str">
        <f aca="false">IF(C208="","",IFERROR(INDEX(NIVEL!$B:$B,MATCH(C208,NIVEL!$A:$A,0)),"¡Código no existe!"))</f>
        <v>Codo A.C. SCH-10</v>
      </c>
      <c r="E208" s="10" t="str">
        <f aca="false">IF(C208="","",IFERROR(INDEX(NIVEL!$C:$C,MATCH(C208,NIVEL!$A:$A,0)),""))</f>
        <v>Un.</v>
      </c>
      <c r="F208" s="10" t="s">
        <v>1031</v>
      </c>
      <c r="G208" s="10" t="n">
        <f aca="false">IFERROR(MATCH(F208,LISTAS!$D$2:$D$22,0),99)</f>
        <v>2</v>
      </c>
      <c r="H208" s="13" t="n">
        <v>8</v>
      </c>
      <c r="I208" s="10" t="s">
        <v>1078</v>
      </c>
      <c r="J208" s="10" t="s">
        <v>1071</v>
      </c>
      <c r="K208" s="10" t="s">
        <v>1079</v>
      </c>
      <c r="L208" s="10"/>
      <c r="M208" s="10" t="str">
        <f aca="false">IF(C208="","SIN ASIGNAR","ASIGNADO")</f>
        <v>ASIGNADO</v>
      </c>
      <c r="N208" s="10" t="s">
        <v>991</v>
      </c>
    </row>
    <row r="209" customFormat="false" ht="15" hidden="false" customHeight="false" outlineLevel="0" collapsed="false">
      <c r="A209" s="10" t="n">
        <v>204</v>
      </c>
      <c r="B209" s="10" t="s">
        <v>25</v>
      </c>
      <c r="C209" s="8" t="s">
        <v>819</v>
      </c>
      <c r="D209" s="10" t="str">
        <f aca="false">IF(C209="","",IFERROR(INDEX(NIVEL!$B:$B,MATCH(C209,NIVEL!$A:$A,0)),"¡Código no existe!"))</f>
        <v>Codo A.C. SCH-10</v>
      </c>
      <c r="E209" s="10" t="str">
        <f aca="false">IF(C209="","",IFERROR(INDEX(NIVEL!$C:$C,MATCH(C209,NIVEL!$A:$A,0)),""))</f>
        <v>Un.</v>
      </c>
      <c r="F209" s="10" t="s">
        <v>1008</v>
      </c>
      <c r="G209" s="10" t="n">
        <f aca="false">IFERROR(MATCH(F209,LISTAS!$D$2:$D$22,0),99)</f>
        <v>3</v>
      </c>
      <c r="H209" s="13" t="n">
        <v>15</v>
      </c>
      <c r="I209" s="10" t="s">
        <v>1078</v>
      </c>
      <c r="J209" s="10" t="s">
        <v>1071</v>
      </c>
      <c r="K209" s="10" t="s">
        <v>1079</v>
      </c>
      <c r="L209" s="10"/>
      <c r="M209" s="10" t="str">
        <f aca="false">IF(C209="","SIN ASIGNAR","ASIGNADO")</f>
        <v>ASIGNADO</v>
      </c>
      <c r="N209" s="10" t="s">
        <v>991</v>
      </c>
    </row>
    <row r="210" customFormat="false" ht="15" hidden="false" customHeight="false" outlineLevel="0" collapsed="false">
      <c r="A210" s="10" t="n">
        <v>205</v>
      </c>
      <c r="B210" s="10" t="s">
        <v>25</v>
      </c>
      <c r="C210" s="8" t="s">
        <v>819</v>
      </c>
      <c r="D210" s="10" t="str">
        <f aca="false">IF(C210="","",IFERROR(INDEX(NIVEL!$B:$B,MATCH(C210,NIVEL!$A:$A,0)),"¡Código no existe!"))</f>
        <v>Codo A.C. SCH-10</v>
      </c>
      <c r="E210" s="10" t="str">
        <f aca="false">IF(C210="","",IFERROR(INDEX(NIVEL!$C:$C,MATCH(C210,NIVEL!$A:$A,0)),""))</f>
        <v>Un.</v>
      </c>
      <c r="F210" s="10" t="s">
        <v>1011</v>
      </c>
      <c r="G210" s="10" t="n">
        <f aca="false">IFERROR(MATCH(F210,LISTAS!$D$2:$D$22,0),99)</f>
        <v>4</v>
      </c>
      <c r="H210" s="13" t="n">
        <v>2</v>
      </c>
      <c r="I210" s="10" t="s">
        <v>1078</v>
      </c>
      <c r="J210" s="10" t="s">
        <v>1071</v>
      </c>
      <c r="K210" s="10" t="s">
        <v>1080</v>
      </c>
      <c r="L210" s="10"/>
      <c r="M210" s="10" t="str">
        <f aca="false">IF(C210="","SIN ASIGNAR","ASIGNADO")</f>
        <v>ASIGNADO</v>
      </c>
      <c r="N210" s="10" t="s">
        <v>991</v>
      </c>
    </row>
    <row r="211" customFormat="false" ht="15" hidden="false" customHeight="false" outlineLevel="0" collapsed="false">
      <c r="A211" s="10" t="n">
        <v>206</v>
      </c>
      <c r="B211" s="10" t="s">
        <v>25</v>
      </c>
      <c r="C211" s="8" t="s">
        <v>819</v>
      </c>
      <c r="D211" s="10" t="str">
        <f aca="false">IF(C211="","",IFERROR(INDEX(NIVEL!$B:$B,MATCH(C211,NIVEL!$A:$A,0)),"¡Código no existe!"))</f>
        <v>Codo A.C. SCH-10</v>
      </c>
      <c r="E211" s="10" t="str">
        <f aca="false">IF(C211="","",IFERROR(INDEX(NIVEL!$C:$C,MATCH(C211,NIVEL!$A:$A,0)),""))</f>
        <v>Un.</v>
      </c>
      <c r="F211" s="10" t="s">
        <v>1011</v>
      </c>
      <c r="G211" s="10" t="n">
        <f aca="false">IFERROR(MATCH(F211,LISTAS!$D$2:$D$22,0),99)</f>
        <v>4</v>
      </c>
      <c r="H211" s="13" t="n">
        <v>18</v>
      </c>
      <c r="I211" s="10" t="s">
        <v>1078</v>
      </c>
      <c r="J211" s="10" t="s">
        <v>1071</v>
      </c>
      <c r="K211" s="10" t="s">
        <v>1079</v>
      </c>
      <c r="L211" s="10"/>
      <c r="M211" s="10" t="str">
        <f aca="false">IF(C211="","SIN ASIGNAR","ASIGNADO")</f>
        <v>ASIGNADO</v>
      </c>
      <c r="N211" s="10" t="s">
        <v>991</v>
      </c>
    </row>
    <row r="212" customFormat="false" ht="15" hidden="false" customHeight="false" outlineLevel="0" collapsed="false">
      <c r="A212" s="10" t="n">
        <v>207</v>
      </c>
      <c r="B212" s="10" t="s">
        <v>25</v>
      </c>
      <c r="C212" s="8" t="s">
        <v>819</v>
      </c>
      <c r="D212" s="10" t="str">
        <f aca="false">IF(C212="","",IFERROR(INDEX(NIVEL!$B:$B,MATCH(C212,NIVEL!$A:$A,0)),"¡Código no existe!"))</f>
        <v>Codo A.C. SCH-10</v>
      </c>
      <c r="E212" s="10" t="str">
        <f aca="false">IF(C212="","",IFERROR(INDEX(NIVEL!$C:$C,MATCH(C212,NIVEL!$A:$A,0)),""))</f>
        <v>Un.</v>
      </c>
      <c r="F212" s="10" t="s">
        <v>1012</v>
      </c>
      <c r="G212" s="10" t="n">
        <f aca="false">IFERROR(MATCH(F212,LISTAS!$D$2:$D$22,0),99)</f>
        <v>5</v>
      </c>
      <c r="H212" s="13" t="n">
        <v>19</v>
      </c>
      <c r="I212" s="10" t="s">
        <v>1078</v>
      </c>
      <c r="J212" s="10" t="s">
        <v>1071</v>
      </c>
      <c r="K212" s="10" t="s">
        <v>1079</v>
      </c>
      <c r="L212" s="10"/>
      <c r="M212" s="10" t="str">
        <f aca="false">IF(C212="","SIN ASIGNAR","ASIGNADO")</f>
        <v>ASIGNADO</v>
      </c>
      <c r="N212" s="10" t="s">
        <v>991</v>
      </c>
    </row>
    <row r="213" customFormat="false" ht="15" hidden="false" customHeight="false" outlineLevel="0" collapsed="false">
      <c r="A213" s="10" t="n">
        <v>208</v>
      </c>
      <c r="B213" s="10" t="s">
        <v>25</v>
      </c>
      <c r="C213" s="8" t="s">
        <v>819</v>
      </c>
      <c r="D213" s="10" t="str">
        <f aca="false">IF(C213="","",IFERROR(INDEX(NIVEL!$B:$B,MATCH(C213,NIVEL!$A:$A,0)),"¡Código no existe!"))</f>
        <v>Codo A.C. SCH-10</v>
      </c>
      <c r="E213" s="10" t="str">
        <f aca="false">IF(C213="","",IFERROR(INDEX(NIVEL!$C:$C,MATCH(C213,NIVEL!$A:$A,0)),""))</f>
        <v>Un.</v>
      </c>
      <c r="F213" s="10" t="s">
        <v>1013</v>
      </c>
      <c r="G213" s="10" t="n">
        <f aca="false">IFERROR(MATCH(F213,LISTAS!$D$2:$D$22,0),99)</f>
        <v>6</v>
      </c>
      <c r="H213" s="13" t="n">
        <v>29</v>
      </c>
      <c r="I213" s="10" t="s">
        <v>1078</v>
      </c>
      <c r="J213" s="10" t="s">
        <v>1071</v>
      </c>
      <c r="K213" s="10" t="s">
        <v>1079</v>
      </c>
      <c r="L213" s="10"/>
      <c r="M213" s="10" t="str">
        <f aca="false">IF(C213="","SIN ASIGNAR","ASIGNADO")</f>
        <v>ASIGNADO</v>
      </c>
      <c r="N213" s="10" t="s">
        <v>991</v>
      </c>
    </row>
    <row r="214" customFormat="false" ht="15" hidden="false" customHeight="false" outlineLevel="0" collapsed="false">
      <c r="A214" s="10" t="n">
        <v>209</v>
      </c>
      <c r="B214" s="10" t="s">
        <v>25</v>
      </c>
      <c r="C214" s="8" t="s">
        <v>819</v>
      </c>
      <c r="D214" s="10" t="str">
        <f aca="false">IF(C214="","",IFERROR(INDEX(NIVEL!$B:$B,MATCH(C214,NIVEL!$A:$A,0)),"¡Código no existe!"))</f>
        <v>Codo A.C. SCH-10</v>
      </c>
      <c r="E214" s="10" t="str">
        <f aca="false">IF(C214="","",IFERROR(INDEX(NIVEL!$C:$C,MATCH(C214,NIVEL!$A:$A,0)),""))</f>
        <v>Un.</v>
      </c>
      <c r="F214" s="10" t="s">
        <v>1013</v>
      </c>
      <c r="G214" s="10" t="n">
        <f aca="false">IFERROR(MATCH(F214,LISTAS!$D$2:$D$22,0),99)</f>
        <v>6</v>
      </c>
      <c r="H214" s="13" t="n">
        <v>7</v>
      </c>
      <c r="I214" s="10" t="s">
        <v>1078</v>
      </c>
      <c r="J214" s="10" t="s">
        <v>1071</v>
      </c>
      <c r="K214" s="10" t="s">
        <v>1001</v>
      </c>
      <c r="L214" s="10"/>
      <c r="M214" s="10" t="str">
        <f aca="false">IF(C214="","SIN ASIGNAR","ASIGNADO")</f>
        <v>ASIGNADO</v>
      </c>
      <c r="N214" s="10" t="s">
        <v>991</v>
      </c>
    </row>
    <row r="215" customFormat="false" ht="15" hidden="false" customHeight="false" outlineLevel="0" collapsed="false">
      <c r="A215" s="10" t="n">
        <v>210</v>
      </c>
      <c r="B215" s="10" t="s">
        <v>25</v>
      </c>
      <c r="C215" s="8" t="s">
        <v>819</v>
      </c>
      <c r="D215" s="10" t="str">
        <f aca="false">IF(C215="","",IFERROR(INDEX(NIVEL!$B:$B,MATCH(C215,NIVEL!$A:$A,0)),"¡Código no existe!"))</f>
        <v>Codo A.C. SCH-10</v>
      </c>
      <c r="E215" s="10" t="str">
        <f aca="false">IF(C215="","",IFERROR(INDEX(NIVEL!$C:$C,MATCH(C215,NIVEL!$A:$A,0)),""))</f>
        <v>Un.</v>
      </c>
      <c r="F215" s="10" t="s">
        <v>1014</v>
      </c>
      <c r="G215" s="10" t="n">
        <f aca="false">IFERROR(MATCH(F215,LISTAS!$D$2:$D$22,0),99)</f>
        <v>7</v>
      </c>
      <c r="H215" s="13" t="n">
        <v>16</v>
      </c>
      <c r="I215" s="10" t="s">
        <v>1078</v>
      </c>
      <c r="J215" s="10" t="s">
        <v>1071</v>
      </c>
      <c r="K215" s="10" t="s">
        <v>990</v>
      </c>
      <c r="L215" s="10"/>
      <c r="M215" s="10" t="str">
        <f aca="false">IF(C215="","SIN ASIGNAR","ASIGNADO")</f>
        <v>ASIGNADO</v>
      </c>
      <c r="N215" s="10" t="s">
        <v>991</v>
      </c>
    </row>
    <row r="216" customFormat="false" ht="15" hidden="false" customHeight="false" outlineLevel="0" collapsed="false">
      <c r="A216" s="10" t="n">
        <v>211</v>
      </c>
      <c r="B216" s="10" t="s">
        <v>25</v>
      </c>
      <c r="C216" s="8" t="s">
        <v>819</v>
      </c>
      <c r="D216" s="10" t="str">
        <f aca="false">IF(C216="","",IFERROR(INDEX(NIVEL!$B:$B,MATCH(C216,NIVEL!$A:$A,0)),"¡Código no existe!"))</f>
        <v>Codo A.C. SCH-10</v>
      </c>
      <c r="E216" s="10" t="str">
        <f aca="false">IF(C216="","",IFERROR(INDEX(NIVEL!$C:$C,MATCH(C216,NIVEL!$A:$A,0)),""))</f>
        <v>Un.</v>
      </c>
      <c r="F216" s="10" t="s">
        <v>1014</v>
      </c>
      <c r="G216" s="10" t="n">
        <f aca="false">IFERROR(MATCH(F216,LISTAS!$D$2:$D$22,0),99)</f>
        <v>7</v>
      </c>
      <c r="H216" s="13" t="n">
        <v>4</v>
      </c>
      <c r="I216" s="10" t="s">
        <v>1078</v>
      </c>
      <c r="J216" s="10" t="s">
        <v>1071</v>
      </c>
      <c r="K216" s="10" t="s">
        <v>1080</v>
      </c>
      <c r="L216" s="10"/>
      <c r="M216" s="10" t="str">
        <f aca="false">IF(C216="","SIN ASIGNAR","ASIGNADO")</f>
        <v>ASIGNADO</v>
      </c>
      <c r="N216" s="10" t="s">
        <v>991</v>
      </c>
    </row>
    <row r="217" customFormat="false" ht="15" hidden="false" customHeight="false" outlineLevel="0" collapsed="false">
      <c r="A217" s="10" t="n">
        <v>212</v>
      </c>
      <c r="B217" s="10" t="s">
        <v>25</v>
      </c>
      <c r="C217" s="8" t="s">
        <v>819</v>
      </c>
      <c r="D217" s="10" t="str">
        <f aca="false">IF(C217="","",IFERROR(INDEX(NIVEL!$B:$B,MATCH(C217,NIVEL!$A:$A,0)),"¡Código no existe!"))</f>
        <v>Codo A.C. SCH-10</v>
      </c>
      <c r="E217" s="10" t="str">
        <f aca="false">IF(C217="","",IFERROR(INDEX(NIVEL!$C:$C,MATCH(C217,NIVEL!$A:$A,0)),""))</f>
        <v>Un.</v>
      </c>
      <c r="F217" s="10" t="s">
        <v>1014</v>
      </c>
      <c r="G217" s="10" t="n">
        <f aca="false">IFERROR(MATCH(F217,LISTAS!$D$2:$D$22,0),99)</f>
        <v>7</v>
      </c>
      <c r="H217" s="13" t="n">
        <v>21</v>
      </c>
      <c r="I217" s="10" t="s">
        <v>1078</v>
      </c>
      <c r="J217" s="10" t="s">
        <v>1071</v>
      </c>
      <c r="K217" s="10" t="s">
        <v>1079</v>
      </c>
      <c r="L217" s="10"/>
      <c r="M217" s="10" t="str">
        <f aca="false">IF(C217="","SIN ASIGNAR","ASIGNADO")</f>
        <v>ASIGNADO</v>
      </c>
      <c r="N217" s="10" t="s">
        <v>991</v>
      </c>
    </row>
    <row r="218" customFormat="false" ht="15" hidden="false" customHeight="false" outlineLevel="0" collapsed="false">
      <c r="A218" s="10" t="n">
        <v>213</v>
      </c>
      <c r="B218" s="10" t="s">
        <v>25</v>
      </c>
      <c r="C218" s="8" t="s">
        <v>819</v>
      </c>
      <c r="D218" s="10" t="str">
        <f aca="false">IF(C218="","",IFERROR(INDEX(NIVEL!$B:$B,MATCH(C218,NIVEL!$A:$A,0)),"¡Código no existe!"))</f>
        <v>Codo A.C. SCH-10</v>
      </c>
      <c r="E218" s="10" t="str">
        <f aca="false">IF(C218="","",IFERROR(INDEX(NIVEL!$C:$C,MATCH(C218,NIVEL!$A:$A,0)),""))</f>
        <v>Un.</v>
      </c>
      <c r="F218" s="10" t="s">
        <v>1014</v>
      </c>
      <c r="G218" s="10" t="n">
        <f aca="false">IFERROR(MATCH(F218,LISTAS!$D$2:$D$22,0),99)</f>
        <v>7</v>
      </c>
      <c r="H218" s="13" t="n">
        <v>3</v>
      </c>
      <c r="I218" s="10" t="s">
        <v>1078</v>
      </c>
      <c r="J218" s="10" t="s">
        <v>1071</v>
      </c>
      <c r="K218" s="10" t="s">
        <v>1016</v>
      </c>
      <c r="L218" s="10"/>
      <c r="M218" s="10" t="str">
        <f aca="false">IF(C218="","SIN ASIGNAR","ASIGNADO")</f>
        <v>ASIGNADO</v>
      </c>
      <c r="N218" s="10" t="s">
        <v>991</v>
      </c>
    </row>
    <row r="219" customFormat="false" ht="15" hidden="false" customHeight="false" outlineLevel="0" collapsed="false">
      <c r="A219" s="10" t="n">
        <v>214</v>
      </c>
      <c r="B219" s="10" t="s">
        <v>25</v>
      </c>
      <c r="C219" s="8" t="s">
        <v>819</v>
      </c>
      <c r="D219" s="10" t="str">
        <f aca="false">IF(C219="","",IFERROR(INDEX(NIVEL!$B:$B,MATCH(C219,NIVEL!$A:$A,0)),"¡Código no existe!"))</f>
        <v>Codo A.C. SCH-10</v>
      </c>
      <c r="E219" s="10" t="str">
        <f aca="false">IF(C219="","",IFERROR(INDEX(NIVEL!$C:$C,MATCH(C219,NIVEL!$A:$A,0)),""))</f>
        <v>Un.</v>
      </c>
      <c r="F219" s="10" t="s">
        <v>1017</v>
      </c>
      <c r="G219" s="10" t="n">
        <f aca="false">IFERROR(MATCH(F219,LISTAS!$D$2:$D$22,0),99)</f>
        <v>8</v>
      </c>
      <c r="H219" s="13" t="n">
        <v>21</v>
      </c>
      <c r="I219" s="10" t="s">
        <v>1078</v>
      </c>
      <c r="J219" s="10" t="s">
        <v>1071</v>
      </c>
      <c r="K219" s="10" t="s">
        <v>990</v>
      </c>
      <c r="L219" s="10"/>
      <c r="M219" s="10" t="str">
        <f aca="false">IF(C219="","SIN ASIGNAR","ASIGNADO")</f>
        <v>ASIGNADO</v>
      </c>
      <c r="N219" s="10" t="s">
        <v>991</v>
      </c>
    </row>
    <row r="220" customFormat="false" ht="15" hidden="false" customHeight="false" outlineLevel="0" collapsed="false">
      <c r="A220" s="10" t="n">
        <v>215</v>
      </c>
      <c r="B220" s="10" t="s">
        <v>25</v>
      </c>
      <c r="C220" s="8" t="s">
        <v>819</v>
      </c>
      <c r="D220" s="10" t="str">
        <f aca="false">IF(C220="","",IFERROR(INDEX(NIVEL!$B:$B,MATCH(C220,NIVEL!$A:$A,0)),"¡Código no existe!"))</f>
        <v>Codo A.C. SCH-10</v>
      </c>
      <c r="E220" s="10" t="str">
        <f aca="false">IF(C220="","",IFERROR(INDEX(NIVEL!$C:$C,MATCH(C220,NIVEL!$A:$A,0)),""))</f>
        <v>Un.</v>
      </c>
      <c r="F220" s="10" t="s">
        <v>1017</v>
      </c>
      <c r="G220" s="10" t="n">
        <f aca="false">IFERROR(MATCH(F220,LISTAS!$D$2:$D$22,0),99)</f>
        <v>8</v>
      </c>
      <c r="H220" s="13" t="n">
        <v>6</v>
      </c>
      <c r="I220" s="10" t="s">
        <v>1078</v>
      </c>
      <c r="J220" s="10" t="s">
        <v>1071</v>
      </c>
      <c r="K220" s="10" t="s">
        <v>1080</v>
      </c>
      <c r="L220" s="10"/>
      <c r="M220" s="10" t="str">
        <f aca="false">IF(C220="","SIN ASIGNAR","ASIGNADO")</f>
        <v>ASIGNADO</v>
      </c>
      <c r="N220" s="10" t="s">
        <v>991</v>
      </c>
    </row>
    <row r="221" customFormat="false" ht="15" hidden="false" customHeight="false" outlineLevel="0" collapsed="false">
      <c r="A221" s="10" t="n">
        <v>216</v>
      </c>
      <c r="B221" s="10" t="s">
        <v>25</v>
      </c>
      <c r="C221" s="8" t="s">
        <v>819</v>
      </c>
      <c r="D221" s="10" t="str">
        <f aca="false">IF(C221="","",IFERROR(INDEX(NIVEL!$B:$B,MATCH(C221,NIVEL!$A:$A,0)),"¡Código no existe!"))</f>
        <v>Codo A.C. SCH-10</v>
      </c>
      <c r="E221" s="10" t="str">
        <f aca="false">IF(C221="","",IFERROR(INDEX(NIVEL!$C:$C,MATCH(C221,NIVEL!$A:$A,0)),""))</f>
        <v>Un.</v>
      </c>
      <c r="F221" s="10" t="s">
        <v>1017</v>
      </c>
      <c r="G221" s="10" t="n">
        <f aca="false">IFERROR(MATCH(F221,LISTAS!$D$2:$D$22,0),99)</f>
        <v>8</v>
      </c>
      <c r="H221" s="13" t="n">
        <v>4</v>
      </c>
      <c r="I221" s="10" t="s">
        <v>1078</v>
      </c>
      <c r="J221" s="10" t="s">
        <v>1071</v>
      </c>
      <c r="K221" s="10" t="s">
        <v>1079</v>
      </c>
      <c r="L221" s="10"/>
      <c r="M221" s="10" t="str">
        <f aca="false">IF(C221="","SIN ASIGNAR","ASIGNADO")</f>
        <v>ASIGNADO</v>
      </c>
      <c r="N221" s="10" t="s">
        <v>991</v>
      </c>
    </row>
    <row r="222" customFormat="false" ht="15" hidden="false" customHeight="false" outlineLevel="0" collapsed="false">
      <c r="A222" s="10" t="n">
        <v>217</v>
      </c>
      <c r="B222" s="10" t="s">
        <v>25</v>
      </c>
      <c r="C222" s="8" t="s">
        <v>841</v>
      </c>
      <c r="D222" s="10" t="str">
        <f aca="false">IF(C222="","",IFERROR(INDEX(NIVEL!$B:$B,MATCH(C222,NIVEL!$A:$A,0)),"¡Código no existe!"))</f>
        <v>Tapón A.C. SCH-10</v>
      </c>
      <c r="E222" s="10" t="str">
        <f aca="false">IF(C222="","",IFERROR(INDEX(NIVEL!$C:$C,MATCH(C222,NIVEL!$A:$A,0)),""))</f>
        <v>Un.</v>
      </c>
      <c r="F222" s="10" t="s">
        <v>1008</v>
      </c>
      <c r="G222" s="10" t="n">
        <f aca="false">IFERROR(MATCH(F222,LISTAS!$D$2:$D$22,0),99)</f>
        <v>3</v>
      </c>
      <c r="H222" s="13" t="n">
        <v>2</v>
      </c>
      <c r="I222" s="10" t="s">
        <v>1081</v>
      </c>
      <c r="J222" s="10"/>
      <c r="K222" s="10" t="s">
        <v>1066</v>
      </c>
      <c r="L222" s="10"/>
      <c r="M222" s="10" t="str">
        <f aca="false">IF(C222="","SIN ASIGNAR","ASIGNADO")</f>
        <v>ASIGNADO</v>
      </c>
      <c r="N222" s="10" t="s">
        <v>991</v>
      </c>
    </row>
    <row r="223" customFormat="false" ht="15" hidden="false" customHeight="false" outlineLevel="0" collapsed="false">
      <c r="A223" s="10" t="n">
        <v>218</v>
      </c>
      <c r="B223" s="10" t="s">
        <v>25</v>
      </c>
      <c r="C223" s="8" t="s">
        <v>841</v>
      </c>
      <c r="D223" s="10" t="str">
        <f aca="false">IF(C223="","",IFERROR(INDEX(NIVEL!$B:$B,MATCH(C223,NIVEL!$A:$A,0)),"¡Código no existe!"))</f>
        <v>Tapón A.C. SCH-10</v>
      </c>
      <c r="E223" s="10" t="str">
        <f aca="false">IF(C223="","",IFERROR(INDEX(NIVEL!$C:$C,MATCH(C223,NIVEL!$A:$A,0)),""))</f>
        <v>Un.</v>
      </c>
      <c r="F223" s="10" t="s">
        <v>1008</v>
      </c>
      <c r="G223" s="10" t="n">
        <f aca="false">IFERROR(MATCH(F223,LISTAS!$D$2:$D$22,0),99)</f>
        <v>3</v>
      </c>
      <c r="H223" s="13" t="n">
        <v>1</v>
      </c>
      <c r="I223" s="10" t="s">
        <v>1081</v>
      </c>
      <c r="J223" s="10"/>
      <c r="K223" s="10" t="s">
        <v>1067</v>
      </c>
      <c r="L223" s="10"/>
      <c r="M223" s="10" t="str">
        <f aca="false">IF(C223="","SIN ASIGNAR","ASIGNADO")</f>
        <v>ASIGNADO</v>
      </c>
      <c r="N223" s="10" t="s">
        <v>991</v>
      </c>
    </row>
    <row r="224" customFormat="false" ht="15" hidden="false" customHeight="false" outlineLevel="0" collapsed="false">
      <c r="A224" s="10" t="n">
        <v>219</v>
      </c>
      <c r="B224" s="10" t="s">
        <v>25</v>
      </c>
      <c r="C224" s="8" t="s">
        <v>841</v>
      </c>
      <c r="D224" s="10" t="str">
        <f aca="false">IF(C224="","",IFERROR(INDEX(NIVEL!$B:$B,MATCH(C224,NIVEL!$A:$A,0)),"¡Código no existe!"))</f>
        <v>Tapón A.C. SCH-10</v>
      </c>
      <c r="E224" s="10" t="str">
        <f aca="false">IF(C224="","",IFERROR(INDEX(NIVEL!$C:$C,MATCH(C224,NIVEL!$A:$A,0)),""))</f>
        <v>Un.</v>
      </c>
      <c r="F224" s="10" t="s">
        <v>1011</v>
      </c>
      <c r="G224" s="10" t="n">
        <f aca="false">IFERROR(MATCH(F224,LISTAS!$D$2:$D$22,0),99)</f>
        <v>4</v>
      </c>
      <c r="H224" s="13" t="n">
        <v>2</v>
      </c>
      <c r="I224" s="10" t="s">
        <v>1081</v>
      </c>
      <c r="J224" s="10"/>
      <c r="K224" s="10" t="s">
        <v>1066</v>
      </c>
      <c r="L224" s="10"/>
      <c r="M224" s="10" t="str">
        <f aca="false">IF(C224="","SIN ASIGNAR","ASIGNADO")</f>
        <v>ASIGNADO</v>
      </c>
      <c r="N224" s="10" t="s">
        <v>991</v>
      </c>
    </row>
    <row r="225" customFormat="false" ht="15" hidden="false" customHeight="false" outlineLevel="0" collapsed="false">
      <c r="A225" s="10" t="n">
        <v>220</v>
      </c>
      <c r="B225" s="10" t="s">
        <v>25</v>
      </c>
      <c r="C225" s="8" t="s">
        <v>841</v>
      </c>
      <c r="D225" s="10" t="str">
        <f aca="false">IF(C225="","",IFERROR(INDEX(NIVEL!$B:$B,MATCH(C225,NIVEL!$A:$A,0)),"¡Código no existe!"))</f>
        <v>Tapón A.C. SCH-10</v>
      </c>
      <c r="E225" s="10" t="str">
        <f aca="false">IF(C225="","",IFERROR(INDEX(NIVEL!$C:$C,MATCH(C225,NIVEL!$A:$A,0)),""))</f>
        <v>Un.</v>
      </c>
      <c r="F225" s="10" t="s">
        <v>1012</v>
      </c>
      <c r="G225" s="10" t="n">
        <f aca="false">IFERROR(MATCH(F225,LISTAS!$D$2:$D$22,0),99)</f>
        <v>5</v>
      </c>
      <c r="H225" s="13" t="n">
        <v>2</v>
      </c>
      <c r="I225" s="10" t="s">
        <v>1081</v>
      </c>
      <c r="J225" s="10"/>
      <c r="K225" s="10" t="s">
        <v>1066</v>
      </c>
      <c r="L225" s="10"/>
      <c r="M225" s="10" t="str">
        <f aca="false">IF(C225="","SIN ASIGNAR","ASIGNADO")</f>
        <v>ASIGNADO</v>
      </c>
      <c r="N225" s="10" t="s">
        <v>991</v>
      </c>
    </row>
    <row r="226" customFormat="false" ht="15" hidden="false" customHeight="false" outlineLevel="0" collapsed="false">
      <c r="A226" s="10" t="n">
        <v>221</v>
      </c>
      <c r="B226" s="10" t="s">
        <v>25</v>
      </c>
      <c r="C226" s="8" t="s">
        <v>841</v>
      </c>
      <c r="D226" s="10" t="str">
        <f aca="false">IF(C226="","",IFERROR(INDEX(NIVEL!$B:$B,MATCH(C226,NIVEL!$A:$A,0)),"¡Código no existe!"))</f>
        <v>Tapón A.C. SCH-10</v>
      </c>
      <c r="E226" s="10" t="str">
        <f aca="false">IF(C226="","",IFERROR(INDEX(NIVEL!$C:$C,MATCH(C226,NIVEL!$A:$A,0)),""))</f>
        <v>Un.</v>
      </c>
      <c r="F226" s="10" t="s">
        <v>1013</v>
      </c>
      <c r="G226" s="10" t="n">
        <f aca="false">IFERROR(MATCH(F226,LISTAS!$D$2:$D$22,0),99)</f>
        <v>6</v>
      </c>
      <c r="H226" s="13" t="n">
        <v>2</v>
      </c>
      <c r="I226" s="10" t="s">
        <v>1081</v>
      </c>
      <c r="J226" s="10"/>
      <c r="K226" s="10" t="s">
        <v>1066</v>
      </c>
      <c r="L226" s="10"/>
      <c r="M226" s="10" t="str">
        <f aca="false">IF(C226="","SIN ASIGNAR","ASIGNADO")</f>
        <v>ASIGNADO</v>
      </c>
      <c r="N226" s="10" t="s">
        <v>991</v>
      </c>
    </row>
    <row r="227" customFormat="false" ht="15" hidden="false" customHeight="false" outlineLevel="0" collapsed="false">
      <c r="A227" s="10" t="n">
        <v>222</v>
      </c>
      <c r="B227" s="10" t="s">
        <v>25</v>
      </c>
      <c r="C227" s="8" t="s">
        <v>841</v>
      </c>
      <c r="D227" s="10" t="str">
        <f aca="false">IF(C227="","",IFERROR(INDEX(NIVEL!$B:$B,MATCH(C227,NIVEL!$A:$A,0)),"¡Código no existe!"))</f>
        <v>Tapón A.C. SCH-10</v>
      </c>
      <c r="E227" s="10" t="str">
        <f aca="false">IF(C227="","",IFERROR(INDEX(NIVEL!$C:$C,MATCH(C227,NIVEL!$A:$A,0)),""))</f>
        <v>Un.</v>
      </c>
      <c r="F227" s="10" t="s">
        <v>1014</v>
      </c>
      <c r="G227" s="10" t="n">
        <f aca="false">IFERROR(MATCH(F227,LISTAS!$D$2:$D$22,0),99)</f>
        <v>7</v>
      </c>
      <c r="H227" s="13" t="n">
        <v>4</v>
      </c>
      <c r="I227" s="10" t="s">
        <v>1081</v>
      </c>
      <c r="J227" s="10"/>
      <c r="K227" s="10" t="s">
        <v>1066</v>
      </c>
      <c r="L227" s="10"/>
      <c r="M227" s="10" t="str">
        <f aca="false">IF(C227="","SIN ASIGNAR","ASIGNADO")</f>
        <v>ASIGNADO</v>
      </c>
      <c r="N227" s="10" t="s">
        <v>991</v>
      </c>
    </row>
    <row r="228" customFormat="false" ht="15" hidden="false" customHeight="false" outlineLevel="0" collapsed="false">
      <c r="A228" s="10" t="n">
        <v>223</v>
      </c>
      <c r="B228" s="10" t="s">
        <v>25</v>
      </c>
      <c r="C228" s="8" t="s">
        <v>841</v>
      </c>
      <c r="D228" s="10" t="str">
        <f aca="false">IF(C228="","",IFERROR(INDEX(NIVEL!$B:$B,MATCH(C228,NIVEL!$A:$A,0)),"¡Código no existe!"))</f>
        <v>Tapón A.C. SCH-10</v>
      </c>
      <c r="E228" s="10" t="str">
        <f aca="false">IF(C228="","",IFERROR(INDEX(NIVEL!$C:$C,MATCH(C228,NIVEL!$A:$A,0)),""))</f>
        <v>Un.</v>
      </c>
      <c r="F228" s="10" t="s">
        <v>1014</v>
      </c>
      <c r="G228" s="10" t="n">
        <f aca="false">IFERROR(MATCH(F228,LISTAS!$D$2:$D$22,0),99)</f>
        <v>7</v>
      </c>
      <c r="H228" s="13" t="n">
        <v>1</v>
      </c>
      <c r="I228" s="10" t="s">
        <v>1081</v>
      </c>
      <c r="J228" s="10"/>
      <c r="K228" s="10" t="s">
        <v>1067</v>
      </c>
      <c r="L228" s="10"/>
      <c r="M228" s="10" t="str">
        <f aca="false">IF(C228="","SIN ASIGNAR","ASIGNADO")</f>
        <v>ASIGNADO</v>
      </c>
      <c r="N228" s="10" t="s">
        <v>991</v>
      </c>
    </row>
    <row r="229" customFormat="false" ht="15" hidden="false" customHeight="false" outlineLevel="0" collapsed="false">
      <c r="A229" s="10" t="n">
        <v>224</v>
      </c>
      <c r="B229" s="10" t="s">
        <v>25</v>
      </c>
      <c r="C229" s="8" t="s">
        <v>841</v>
      </c>
      <c r="D229" s="10" t="str">
        <f aca="false">IF(C229="","",IFERROR(INDEX(NIVEL!$B:$B,MATCH(C229,NIVEL!$A:$A,0)),"¡Código no existe!"))</f>
        <v>Tapón A.C. SCH-10</v>
      </c>
      <c r="E229" s="10" t="str">
        <f aca="false">IF(C229="","",IFERROR(INDEX(NIVEL!$C:$C,MATCH(C229,NIVEL!$A:$A,0)),""))</f>
        <v>Un.</v>
      </c>
      <c r="F229" s="10" t="s">
        <v>1014</v>
      </c>
      <c r="G229" s="10" t="n">
        <f aca="false">IFERROR(MATCH(F229,LISTAS!$D$2:$D$22,0),99)</f>
        <v>7</v>
      </c>
      <c r="H229" s="13" t="n">
        <v>1</v>
      </c>
      <c r="I229" s="10" t="s">
        <v>1081</v>
      </c>
      <c r="J229" s="10"/>
      <c r="K229" s="10" t="s">
        <v>1065</v>
      </c>
      <c r="L229" s="10"/>
      <c r="M229" s="10" t="str">
        <f aca="false">IF(C229="","SIN ASIGNAR","ASIGNADO")</f>
        <v>ASIGNADO</v>
      </c>
      <c r="N229" s="10" t="s">
        <v>991</v>
      </c>
    </row>
    <row r="230" customFormat="false" ht="15" hidden="false" customHeight="false" outlineLevel="0" collapsed="false">
      <c r="A230" s="10" t="n">
        <v>225</v>
      </c>
      <c r="B230" s="10" t="s">
        <v>25</v>
      </c>
      <c r="C230" s="8" t="s">
        <v>841</v>
      </c>
      <c r="D230" s="10" t="str">
        <f aca="false">IF(C230="","",IFERROR(INDEX(NIVEL!$B:$B,MATCH(C230,NIVEL!$A:$A,0)),"¡Código no existe!"))</f>
        <v>Tapón A.C. SCH-10</v>
      </c>
      <c r="E230" s="10" t="str">
        <f aca="false">IF(C230="","",IFERROR(INDEX(NIVEL!$C:$C,MATCH(C230,NIVEL!$A:$A,0)),""))</f>
        <v>Un.</v>
      </c>
      <c r="F230" s="10" t="s">
        <v>1017</v>
      </c>
      <c r="G230" s="10" t="n">
        <f aca="false">IFERROR(MATCH(F230,LISTAS!$D$2:$D$22,0),99)</f>
        <v>8</v>
      </c>
      <c r="H230" s="13" t="n">
        <v>2</v>
      </c>
      <c r="I230" s="10" t="s">
        <v>1081</v>
      </c>
      <c r="J230" s="10"/>
      <c r="K230" s="10" t="s">
        <v>1066</v>
      </c>
      <c r="L230" s="10"/>
      <c r="M230" s="10" t="str">
        <f aca="false">IF(C230="","SIN ASIGNAR","ASIGNADO")</f>
        <v>ASIGNADO</v>
      </c>
      <c r="N230" s="10" t="s">
        <v>991</v>
      </c>
    </row>
    <row r="231" customFormat="false" ht="15" hidden="false" customHeight="false" outlineLevel="0" collapsed="false">
      <c r="A231" s="10" t="n">
        <v>226</v>
      </c>
      <c r="B231" s="10" t="s">
        <v>25</v>
      </c>
      <c r="C231" s="8" t="s">
        <v>841</v>
      </c>
      <c r="D231" s="10" t="str">
        <f aca="false">IF(C231="","",IFERROR(INDEX(NIVEL!$B:$B,MATCH(C231,NIVEL!$A:$A,0)),"¡Código no existe!"))</f>
        <v>Tapón A.C. SCH-10</v>
      </c>
      <c r="E231" s="10" t="str">
        <f aca="false">IF(C231="","",IFERROR(INDEX(NIVEL!$C:$C,MATCH(C231,NIVEL!$A:$A,0)),""))</f>
        <v>Un.</v>
      </c>
      <c r="F231" s="10" t="s">
        <v>1017</v>
      </c>
      <c r="G231" s="10" t="n">
        <f aca="false">IFERROR(MATCH(F231,LISTAS!$D$2:$D$22,0),99)</f>
        <v>8</v>
      </c>
      <c r="H231" s="13" t="n">
        <v>4</v>
      </c>
      <c r="I231" s="10" t="s">
        <v>1081</v>
      </c>
      <c r="J231" s="10"/>
      <c r="K231" s="10" t="s">
        <v>1061</v>
      </c>
      <c r="L231" s="10"/>
      <c r="M231" s="10" t="str">
        <f aca="false">IF(C231="","SIN ASIGNAR","ASIGNADO")</f>
        <v>ASIGNADO</v>
      </c>
      <c r="N231" s="10" t="s">
        <v>991</v>
      </c>
    </row>
    <row r="232" customFormat="false" ht="15" hidden="false" customHeight="false" outlineLevel="0" collapsed="false">
      <c r="A232" s="10" t="n">
        <v>227</v>
      </c>
      <c r="B232" s="10" t="s">
        <v>25</v>
      </c>
      <c r="C232" s="8" t="s">
        <v>841</v>
      </c>
      <c r="D232" s="10" t="str">
        <f aca="false">IF(C232="","",IFERROR(INDEX(NIVEL!$B:$B,MATCH(C232,NIVEL!$A:$A,0)),"¡Código no existe!"))</f>
        <v>Tapón A.C. SCH-10</v>
      </c>
      <c r="E232" s="10" t="str">
        <f aca="false">IF(C232="","",IFERROR(INDEX(NIVEL!$C:$C,MATCH(C232,NIVEL!$A:$A,0)),""))</f>
        <v>Un.</v>
      </c>
      <c r="F232" s="10" t="s">
        <v>1017</v>
      </c>
      <c r="G232" s="10" t="n">
        <f aca="false">IFERROR(MATCH(F232,LISTAS!$D$2:$D$22,0),99)</f>
        <v>8</v>
      </c>
      <c r="H232" s="13" t="n">
        <v>1</v>
      </c>
      <c r="I232" s="10" t="s">
        <v>1081</v>
      </c>
      <c r="J232" s="10"/>
      <c r="K232" s="10" t="s">
        <v>1063</v>
      </c>
      <c r="L232" s="10"/>
      <c r="M232" s="10" t="str">
        <f aca="false">IF(C232="","SIN ASIGNAR","ASIGNADO")</f>
        <v>ASIGNADO</v>
      </c>
      <c r="N232" s="10" t="s">
        <v>991</v>
      </c>
    </row>
    <row r="233" customFormat="false" ht="15" hidden="false" customHeight="false" outlineLevel="0" collapsed="false">
      <c r="A233" s="10" t="n">
        <v>228</v>
      </c>
      <c r="B233" s="10" t="s">
        <v>25</v>
      </c>
      <c r="C233" s="8" t="s">
        <v>811</v>
      </c>
      <c r="D233" s="10" t="str">
        <f aca="false">IF(C233="","",IFERROR(INDEX(NIVEL!$B:$B,MATCH(C233,NIVEL!$A:$A,0)),"¡Código no existe!"))</f>
        <v>Tee mecanica D=2x2x1"</v>
      </c>
      <c r="E233" s="10" t="str">
        <f aca="false">IF(C233="","",IFERROR(INDEX(NIVEL!$C:$C,MATCH(C233,NIVEL!$A:$A,0)),""))</f>
        <v>Un.</v>
      </c>
      <c r="F233" s="10" t="s">
        <v>987</v>
      </c>
      <c r="G233" s="10" t="n">
        <f aca="false">IFERROR(MATCH(F233,LISTAS!$D$2:$D$22,0),99)</f>
        <v>1</v>
      </c>
      <c r="H233" s="13" t="n">
        <v>1</v>
      </c>
      <c r="I233" s="10" t="s">
        <v>1082</v>
      </c>
      <c r="J233" s="10" t="s">
        <v>1083</v>
      </c>
      <c r="K233" s="10" t="s">
        <v>1084</v>
      </c>
      <c r="L233" s="10"/>
      <c r="M233" s="10" t="str">
        <f aca="false">IF(C233="","SIN ASIGNAR","ASIGNADO")</f>
        <v>ASIGNADO</v>
      </c>
      <c r="N233" s="10" t="s">
        <v>995</v>
      </c>
    </row>
    <row r="234" customFormat="false" ht="15" hidden="false" customHeight="false" outlineLevel="0" collapsed="false">
      <c r="A234" s="10" t="n">
        <v>229</v>
      </c>
      <c r="B234" s="10" t="s">
        <v>25</v>
      </c>
      <c r="C234" s="8" t="s">
        <v>801</v>
      </c>
      <c r="D234" s="10" t="str">
        <f aca="false">IF(C234="","",IFERROR(INDEX(NIVEL!$B:$B,MATCH(C234,NIVEL!$A:$A,0)),"¡Código no existe!"))</f>
        <v>Tee mecánica SCH-40 D=1 1/2"</v>
      </c>
      <c r="E234" s="10" t="str">
        <f aca="false">IF(C234="","",IFERROR(INDEX(NIVEL!$C:$C,MATCH(C234,NIVEL!$A:$A,0)),""))</f>
        <v>Un.</v>
      </c>
      <c r="F234" s="10" t="s">
        <v>1012</v>
      </c>
      <c r="G234" s="10" t="n">
        <f aca="false">IFERROR(MATCH(F234,LISTAS!$D$2:$D$22,0),99)</f>
        <v>5</v>
      </c>
      <c r="H234" s="13" t="n">
        <v>1</v>
      </c>
      <c r="I234" s="10" t="s">
        <v>1085</v>
      </c>
      <c r="J234" s="10" t="s">
        <v>1083</v>
      </c>
      <c r="K234" s="10" t="s">
        <v>1086</v>
      </c>
      <c r="L234" s="10"/>
      <c r="M234" s="10" t="str">
        <f aca="false">IF(C234="","SIN ASIGNAR","ASIGNADO")</f>
        <v>ASIGNADO</v>
      </c>
      <c r="N234" s="10" t="s">
        <v>995</v>
      </c>
    </row>
    <row r="235" customFormat="false" ht="15" hidden="false" customHeight="false" outlineLevel="0" collapsed="false">
      <c r="A235" s="10" t="n">
        <v>230</v>
      </c>
      <c r="B235" s="10" t="s">
        <v>25</v>
      </c>
      <c r="C235" s="8" t="s">
        <v>801</v>
      </c>
      <c r="D235" s="10" t="str">
        <f aca="false">IF(C235="","",IFERROR(INDEX(NIVEL!$B:$B,MATCH(C235,NIVEL!$A:$A,0)),"¡Código no existe!"))</f>
        <v>Tee mecánica SCH-40 D=1 1/2"</v>
      </c>
      <c r="E235" s="10" t="str">
        <f aca="false">IF(C235="","",IFERROR(INDEX(NIVEL!$C:$C,MATCH(C235,NIVEL!$A:$A,0)),""))</f>
        <v>Un.</v>
      </c>
      <c r="F235" s="10" t="s">
        <v>1013</v>
      </c>
      <c r="G235" s="10" t="n">
        <f aca="false">IFERROR(MATCH(F235,LISTAS!$D$2:$D$22,0),99)</f>
        <v>6</v>
      </c>
      <c r="H235" s="13" t="n">
        <v>1</v>
      </c>
      <c r="I235" s="10" t="s">
        <v>1085</v>
      </c>
      <c r="J235" s="10" t="s">
        <v>1083</v>
      </c>
      <c r="K235" s="10" t="s">
        <v>1086</v>
      </c>
      <c r="L235" s="10"/>
      <c r="M235" s="10" t="str">
        <f aca="false">IF(C235="","SIN ASIGNAR","ASIGNADO")</f>
        <v>ASIGNADO</v>
      </c>
      <c r="N235" s="10" t="s">
        <v>995</v>
      </c>
    </row>
    <row r="236" customFormat="false" ht="15" hidden="false" customHeight="false" outlineLevel="0" collapsed="false">
      <c r="A236" s="10" t="n">
        <v>231</v>
      </c>
      <c r="B236" s="10" t="s">
        <v>25</v>
      </c>
      <c r="C236" s="8" t="s">
        <v>801</v>
      </c>
      <c r="D236" s="10" t="str">
        <f aca="false">IF(C236="","",IFERROR(INDEX(NIVEL!$B:$B,MATCH(C236,NIVEL!$A:$A,0)),"¡Código no existe!"))</f>
        <v>Tee mecánica SCH-40 D=1 1/2"</v>
      </c>
      <c r="E236" s="10" t="str">
        <f aca="false">IF(C236="","",IFERROR(INDEX(NIVEL!$C:$C,MATCH(C236,NIVEL!$A:$A,0)),""))</f>
        <v>Un.</v>
      </c>
      <c r="F236" s="10" t="s">
        <v>1014</v>
      </c>
      <c r="G236" s="10" t="n">
        <f aca="false">IFERROR(MATCH(F236,LISTAS!$D$2:$D$22,0),99)</f>
        <v>7</v>
      </c>
      <c r="H236" s="13" t="n">
        <v>1</v>
      </c>
      <c r="I236" s="10" t="s">
        <v>1085</v>
      </c>
      <c r="J236" s="10" t="s">
        <v>1083</v>
      </c>
      <c r="K236" s="10" t="s">
        <v>1086</v>
      </c>
      <c r="L236" s="10"/>
      <c r="M236" s="10" t="str">
        <f aca="false">IF(C236="","SIN ASIGNAR","ASIGNADO")</f>
        <v>ASIGNADO</v>
      </c>
      <c r="N236" s="10" t="s">
        <v>995</v>
      </c>
    </row>
    <row r="237" customFormat="false" ht="15" hidden="false" customHeight="false" outlineLevel="0" collapsed="false">
      <c r="A237" s="10" t="n">
        <v>232</v>
      </c>
      <c r="B237" s="10" t="s">
        <v>25</v>
      </c>
      <c r="C237" s="8" t="s">
        <v>815</v>
      </c>
      <c r="D237" s="10" t="str">
        <f aca="false">IF(C237="","",IFERROR(INDEX(NIVEL!$B:$B,MATCH(C237,NIVEL!$A:$A,0)),"¡Código no existe!"))</f>
        <v>Tee mecánica D=2-1/2x1-1/2"</v>
      </c>
      <c r="E237" s="10" t="str">
        <f aca="false">IF(C237="","",IFERROR(INDEX(NIVEL!$C:$C,MATCH(C237,NIVEL!$A:$A,0)),""))</f>
        <v>Un.</v>
      </c>
      <c r="F237" s="10" t="s">
        <v>1049</v>
      </c>
      <c r="G237" s="10" t="n">
        <f aca="false">IFERROR(MATCH(F237,LISTAS!$D$2:$D$22,0),99)</f>
        <v>9</v>
      </c>
      <c r="H237" s="13" t="n">
        <v>1</v>
      </c>
      <c r="I237" s="10" t="s">
        <v>1085</v>
      </c>
      <c r="J237" s="10" t="s">
        <v>1083</v>
      </c>
      <c r="K237" s="10" t="s">
        <v>1087</v>
      </c>
      <c r="L237" s="10"/>
      <c r="M237" s="10" t="str">
        <f aca="false">IF(C237="","SIN ASIGNAR","ASIGNADO")</f>
        <v>ASIGNADO</v>
      </c>
      <c r="N237" s="10" t="s">
        <v>995</v>
      </c>
    </row>
    <row r="238" customFormat="false" ht="15" hidden="false" customHeight="false" outlineLevel="0" collapsed="false">
      <c r="A238" s="10" t="n">
        <v>233</v>
      </c>
      <c r="B238" s="10" t="s">
        <v>25</v>
      </c>
      <c r="C238" s="8" t="s">
        <v>815</v>
      </c>
      <c r="D238" s="10" t="str">
        <f aca="false">IF(C238="","",IFERROR(INDEX(NIVEL!$B:$B,MATCH(C238,NIVEL!$A:$A,0)),"¡Código no existe!"))</f>
        <v>Tee mecánica D=2-1/2x1-1/2"</v>
      </c>
      <c r="E238" s="10" t="str">
        <f aca="false">IF(C238="","",IFERROR(INDEX(NIVEL!$C:$C,MATCH(C238,NIVEL!$A:$A,0)),""))</f>
        <v>Un.</v>
      </c>
      <c r="F238" s="10" t="s">
        <v>1050</v>
      </c>
      <c r="G238" s="10" t="n">
        <f aca="false">IFERROR(MATCH(F238,LISTAS!$D$2:$D$22,0),99)</f>
        <v>10</v>
      </c>
      <c r="H238" s="13" t="n">
        <v>1</v>
      </c>
      <c r="I238" s="10" t="s">
        <v>1085</v>
      </c>
      <c r="J238" s="10" t="s">
        <v>1083</v>
      </c>
      <c r="K238" s="10" t="s">
        <v>1087</v>
      </c>
      <c r="L238" s="10"/>
      <c r="M238" s="10" t="str">
        <f aca="false">IF(C238="","SIN ASIGNAR","ASIGNADO")</f>
        <v>ASIGNADO</v>
      </c>
      <c r="N238" s="10" t="s">
        <v>995</v>
      </c>
    </row>
    <row r="239" customFormat="false" ht="15" hidden="false" customHeight="false" outlineLevel="0" collapsed="false">
      <c r="A239" s="10" t="n">
        <v>234</v>
      </c>
      <c r="B239" s="10" t="s">
        <v>25</v>
      </c>
      <c r="C239" s="8" t="s">
        <v>815</v>
      </c>
      <c r="D239" s="10" t="str">
        <f aca="false">IF(C239="","",IFERROR(INDEX(NIVEL!$B:$B,MATCH(C239,NIVEL!$A:$A,0)),"¡Código no existe!"))</f>
        <v>Tee mecánica D=2-1/2x1-1/2"</v>
      </c>
      <c r="E239" s="10" t="str">
        <f aca="false">IF(C239="","",IFERROR(INDEX(NIVEL!$C:$C,MATCH(C239,NIVEL!$A:$A,0)),""))</f>
        <v>Un.</v>
      </c>
      <c r="F239" s="10" t="s">
        <v>1051</v>
      </c>
      <c r="G239" s="10" t="n">
        <f aca="false">IFERROR(MATCH(F239,LISTAS!$D$2:$D$22,0),99)</f>
        <v>11</v>
      </c>
      <c r="H239" s="13" t="n">
        <v>1</v>
      </c>
      <c r="I239" s="10" t="s">
        <v>1085</v>
      </c>
      <c r="J239" s="10" t="s">
        <v>1083</v>
      </c>
      <c r="K239" s="10" t="s">
        <v>1087</v>
      </c>
      <c r="L239" s="10"/>
      <c r="M239" s="10" t="str">
        <f aca="false">IF(C239="","SIN ASIGNAR","ASIGNADO")</f>
        <v>ASIGNADO</v>
      </c>
      <c r="N239" s="10" t="s">
        <v>995</v>
      </c>
    </row>
    <row r="240" customFormat="false" ht="15" hidden="false" customHeight="false" outlineLevel="0" collapsed="false">
      <c r="A240" s="10" t="n">
        <v>235</v>
      </c>
      <c r="B240" s="10" t="s">
        <v>25</v>
      </c>
      <c r="C240" s="8" t="s">
        <v>815</v>
      </c>
      <c r="D240" s="10" t="str">
        <f aca="false">IF(C240="","",IFERROR(INDEX(NIVEL!$B:$B,MATCH(C240,NIVEL!$A:$A,0)),"¡Código no existe!"))</f>
        <v>Tee mecánica D=2-1/2x1-1/2"</v>
      </c>
      <c r="E240" s="10" t="str">
        <f aca="false">IF(C240="","",IFERROR(INDEX(NIVEL!$C:$C,MATCH(C240,NIVEL!$A:$A,0)),""))</f>
        <v>Un.</v>
      </c>
      <c r="F240" s="10" t="s">
        <v>1052</v>
      </c>
      <c r="G240" s="10" t="n">
        <f aca="false">IFERROR(MATCH(F240,LISTAS!$D$2:$D$22,0),99)</f>
        <v>12</v>
      </c>
      <c r="H240" s="13" t="n">
        <v>1</v>
      </c>
      <c r="I240" s="10" t="s">
        <v>1085</v>
      </c>
      <c r="J240" s="10" t="s">
        <v>1083</v>
      </c>
      <c r="K240" s="10" t="s">
        <v>1087</v>
      </c>
      <c r="L240" s="10"/>
      <c r="M240" s="10" t="str">
        <f aca="false">IF(C240="","SIN ASIGNAR","ASIGNADO")</f>
        <v>ASIGNADO</v>
      </c>
      <c r="N240" s="10" t="s">
        <v>995</v>
      </c>
    </row>
    <row r="241" customFormat="false" ht="15" hidden="false" customHeight="false" outlineLevel="0" collapsed="false">
      <c r="A241" s="10" t="n">
        <v>236</v>
      </c>
      <c r="B241" s="10" t="s">
        <v>25</v>
      </c>
      <c r="C241" s="8" t="s">
        <v>815</v>
      </c>
      <c r="D241" s="10" t="str">
        <f aca="false">IF(C241="","",IFERROR(INDEX(NIVEL!$B:$B,MATCH(C241,NIVEL!$A:$A,0)),"¡Código no existe!"))</f>
        <v>Tee mecánica D=2-1/2x1-1/2"</v>
      </c>
      <c r="E241" s="10" t="str">
        <f aca="false">IF(C241="","",IFERROR(INDEX(NIVEL!$C:$C,MATCH(C241,NIVEL!$A:$A,0)),""))</f>
        <v>Un.</v>
      </c>
      <c r="F241" s="10" t="s">
        <v>1053</v>
      </c>
      <c r="G241" s="10" t="n">
        <f aca="false">IFERROR(MATCH(F241,LISTAS!$D$2:$D$22,0),99)</f>
        <v>13</v>
      </c>
      <c r="H241" s="13" t="n">
        <v>1</v>
      </c>
      <c r="I241" s="10" t="s">
        <v>1085</v>
      </c>
      <c r="J241" s="10" t="s">
        <v>1083</v>
      </c>
      <c r="K241" s="10" t="s">
        <v>1087</v>
      </c>
      <c r="L241" s="10"/>
      <c r="M241" s="10" t="str">
        <f aca="false">IF(C241="","SIN ASIGNAR","ASIGNADO")</f>
        <v>ASIGNADO</v>
      </c>
      <c r="N241" s="10" t="s">
        <v>995</v>
      </c>
    </row>
    <row r="242" customFormat="false" ht="15" hidden="false" customHeight="false" outlineLevel="0" collapsed="false">
      <c r="A242" s="10" t="n">
        <v>237</v>
      </c>
      <c r="B242" s="10" t="s">
        <v>25</v>
      </c>
      <c r="C242" s="8" t="s">
        <v>815</v>
      </c>
      <c r="D242" s="10" t="str">
        <f aca="false">IF(C242="","",IFERROR(INDEX(NIVEL!$B:$B,MATCH(C242,NIVEL!$A:$A,0)),"¡Código no existe!"))</f>
        <v>Tee mecánica D=2-1/2x1-1/2"</v>
      </c>
      <c r="E242" s="10" t="str">
        <f aca="false">IF(C242="","",IFERROR(INDEX(NIVEL!$C:$C,MATCH(C242,NIVEL!$A:$A,0)),""))</f>
        <v>Un.</v>
      </c>
      <c r="F242" s="10" t="s">
        <v>1054</v>
      </c>
      <c r="G242" s="10" t="n">
        <f aca="false">IFERROR(MATCH(F242,LISTAS!$D$2:$D$22,0),99)</f>
        <v>14</v>
      </c>
      <c r="H242" s="13" t="n">
        <v>1</v>
      </c>
      <c r="I242" s="10" t="s">
        <v>1085</v>
      </c>
      <c r="J242" s="10" t="s">
        <v>1083</v>
      </c>
      <c r="K242" s="10" t="s">
        <v>1087</v>
      </c>
      <c r="L242" s="10"/>
      <c r="M242" s="10" t="str">
        <f aca="false">IF(C242="","SIN ASIGNAR","ASIGNADO")</f>
        <v>ASIGNADO</v>
      </c>
      <c r="N242" s="10" t="s">
        <v>995</v>
      </c>
    </row>
    <row r="243" customFormat="false" ht="15" hidden="false" customHeight="false" outlineLevel="0" collapsed="false">
      <c r="A243" s="10" t="n">
        <v>238</v>
      </c>
      <c r="B243" s="10" t="s">
        <v>25</v>
      </c>
      <c r="C243" s="8" t="s">
        <v>815</v>
      </c>
      <c r="D243" s="10" t="str">
        <f aca="false">IF(C243="","",IFERROR(INDEX(NIVEL!$B:$B,MATCH(C243,NIVEL!$A:$A,0)),"¡Código no existe!"))</f>
        <v>Tee mecánica D=2-1/2x1-1/2"</v>
      </c>
      <c r="E243" s="10" t="str">
        <f aca="false">IF(C243="","",IFERROR(INDEX(NIVEL!$C:$C,MATCH(C243,NIVEL!$A:$A,0)),""))</f>
        <v>Un.</v>
      </c>
      <c r="F243" s="10" t="s">
        <v>1055</v>
      </c>
      <c r="G243" s="10" t="n">
        <f aca="false">IFERROR(MATCH(F243,LISTAS!$D$2:$D$22,0),99)</f>
        <v>15</v>
      </c>
      <c r="H243" s="13" t="n">
        <v>1</v>
      </c>
      <c r="I243" s="10" t="s">
        <v>1085</v>
      </c>
      <c r="J243" s="10" t="s">
        <v>1083</v>
      </c>
      <c r="K243" s="10" t="s">
        <v>1087</v>
      </c>
      <c r="L243" s="10"/>
      <c r="M243" s="10" t="str">
        <f aca="false">IF(C243="","SIN ASIGNAR","ASIGNADO")</f>
        <v>ASIGNADO</v>
      </c>
      <c r="N243" s="10" t="s">
        <v>995</v>
      </c>
    </row>
    <row r="244" customFormat="false" ht="15" hidden="false" customHeight="false" outlineLevel="0" collapsed="false">
      <c r="A244" s="10" t="n">
        <v>239</v>
      </c>
      <c r="B244" s="10" t="s">
        <v>25</v>
      </c>
      <c r="C244" s="8" t="s">
        <v>815</v>
      </c>
      <c r="D244" s="10" t="str">
        <f aca="false">IF(C244="","",IFERROR(INDEX(NIVEL!$B:$B,MATCH(C244,NIVEL!$A:$A,0)),"¡Código no existe!"))</f>
        <v>Tee mecánica D=2-1/2x1-1/2"</v>
      </c>
      <c r="E244" s="10" t="str">
        <f aca="false">IF(C244="","",IFERROR(INDEX(NIVEL!$C:$C,MATCH(C244,NIVEL!$A:$A,0)),""))</f>
        <v>Un.</v>
      </c>
      <c r="F244" s="10" t="s">
        <v>1056</v>
      </c>
      <c r="G244" s="10" t="n">
        <f aca="false">IFERROR(MATCH(F244,LISTAS!$D$2:$D$22,0),99)</f>
        <v>16</v>
      </c>
      <c r="H244" s="13" t="n">
        <v>1</v>
      </c>
      <c r="I244" s="10" t="s">
        <v>1085</v>
      </c>
      <c r="J244" s="10" t="s">
        <v>1083</v>
      </c>
      <c r="K244" s="10" t="s">
        <v>1087</v>
      </c>
      <c r="L244" s="10"/>
      <c r="M244" s="10" t="str">
        <f aca="false">IF(C244="","SIN ASIGNAR","ASIGNADO")</f>
        <v>ASIGNADO</v>
      </c>
      <c r="N244" s="10" t="s">
        <v>995</v>
      </c>
    </row>
    <row r="245" customFormat="false" ht="15" hidden="false" customHeight="false" outlineLevel="0" collapsed="false">
      <c r="A245" s="10" t="n">
        <v>240</v>
      </c>
      <c r="B245" s="10" t="s">
        <v>25</v>
      </c>
      <c r="C245" s="8" t="s">
        <v>815</v>
      </c>
      <c r="D245" s="10" t="str">
        <f aca="false">IF(C245="","",IFERROR(INDEX(NIVEL!$B:$B,MATCH(C245,NIVEL!$A:$A,0)),"¡Código no existe!"))</f>
        <v>Tee mecánica D=2-1/2x1-1/2"</v>
      </c>
      <c r="E245" s="10" t="str">
        <f aca="false">IF(C245="","",IFERROR(INDEX(NIVEL!$C:$C,MATCH(C245,NIVEL!$A:$A,0)),""))</f>
        <v>Un.</v>
      </c>
      <c r="F245" s="10" t="s">
        <v>1057</v>
      </c>
      <c r="G245" s="10" t="n">
        <f aca="false">IFERROR(MATCH(F245,LISTAS!$D$2:$D$22,0),99)</f>
        <v>17</v>
      </c>
      <c r="H245" s="13" t="n">
        <v>1</v>
      </c>
      <c r="I245" s="10" t="s">
        <v>1085</v>
      </c>
      <c r="J245" s="10" t="s">
        <v>1083</v>
      </c>
      <c r="K245" s="10" t="s">
        <v>1087</v>
      </c>
      <c r="L245" s="10"/>
      <c r="M245" s="10" t="str">
        <f aca="false">IF(C245="","SIN ASIGNAR","ASIGNADO")</f>
        <v>ASIGNADO</v>
      </c>
      <c r="N245" s="10" t="s">
        <v>995</v>
      </c>
    </row>
    <row r="246" customFormat="false" ht="15" hidden="false" customHeight="false" outlineLevel="0" collapsed="false">
      <c r="A246" s="10" t="n">
        <v>241</v>
      </c>
      <c r="B246" s="10" t="s">
        <v>25</v>
      </c>
      <c r="C246" s="8" t="s">
        <v>815</v>
      </c>
      <c r="D246" s="10" t="str">
        <f aca="false">IF(C246="","",IFERROR(INDEX(NIVEL!$B:$B,MATCH(C246,NIVEL!$A:$A,0)),"¡Código no existe!"))</f>
        <v>Tee mecánica D=2-1/2x1-1/2"</v>
      </c>
      <c r="E246" s="10" t="str">
        <f aca="false">IF(C246="","",IFERROR(INDEX(NIVEL!$C:$C,MATCH(C246,NIVEL!$A:$A,0)),""))</f>
        <v>Un.</v>
      </c>
      <c r="F246" s="10" t="s">
        <v>1058</v>
      </c>
      <c r="G246" s="10" t="n">
        <f aca="false">IFERROR(MATCH(F246,LISTAS!$D$2:$D$22,0),99)</f>
        <v>18</v>
      </c>
      <c r="H246" s="13" t="n">
        <v>1</v>
      </c>
      <c r="I246" s="10" t="s">
        <v>1085</v>
      </c>
      <c r="J246" s="10" t="s">
        <v>1083</v>
      </c>
      <c r="K246" s="10" t="s">
        <v>1087</v>
      </c>
      <c r="L246" s="10"/>
      <c r="M246" s="10" t="str">
        <f aca="false">IF(C246="","SIN ASIGNAR","ASIGNADO")</f>
        <v>ASIGNADO</v>
      </c>
      <c r="N246" s="10" t="s">
        <v>995</v>
      </c>
    </row>
    <row r="247" customFormat="false" ht="15" hidden="false" customHeight="false" outlineLevel="0" collapsed="false">
      <c r="A247" s="10" t="n">
        <v>242</v>
      </c>
      <c r="B247" s="10" t="s">
        <v>25</v>
      </c>
      <c r="C247" s="8" t="s">
        <v>815</v>
      </c>
      <c r="D247" s="10" t="str">
        <f aca="false">IF(C247="","",IFERROR(INDEX(NIVEL!$B:$B,MATCH(C247,NIVEL!$A:$A,0)),"¡Código no existe!"))</f>
        <v>Tee mecánica D=2-1/2x1-1/2"</v>
      </c>
      <c r="E247" s="10" t="str">
        <f aca="false">IF(C247="","",IFERROR(INDEX(NIVEL!$C:$C,MATCH(C247,NIVEL!$A:$A,0)),""))</f>
        <v>Un.</v>
      </c>
      <c r="F247" s="10" t="s">
        <v>1018</v>
      </c>
      <c r="G247" s="10" t="n">
        <f aca="false">IFERROR(MATCH(F247,LISTAS!$D$2:$D$22,0),99)</f>
        <v>19</v>
      </c>
      <c r="H247" s="13" t="n">
        <v>1</v>
      </c>
      <c r="I247" s="10" t="s">
        <v>1085</v>
      </c>
      <c r="J247" s="10" t="s">
        <v>1083</v>
      </c>
      <c r="K247" s="10" t="s">
        <v>1087</v>
      </c>
      <c r="L247" s="10"/>
      <c r="M247" s="10" t="str">
        <f aca="false">IF(C247="","SIN ASIGNAR","ASIGNADO")</f>
        <v>ASIGNADO</v>
      </c>
      <c r="N247" s="10" t="s">
        <v>995</v>
      </c>
    </row>
    <row r="248" customFormat="false" ht="15" hidden="false" customHeight="false" outlineLevel="0" collapsed="false">
      <c r="A248" s="10" t="n">
        <v>243</v>
      </c>
      <c r="B248" s="10" t="s">
        <v>25</v>
      </c>
      <c r="C248" s="8" t="s">
        <v>815</v>
      </c>
      <c r="D248" s="10" t="str">
        <f aca="false">IF(C248="","",IFERROR(INDEX(NIVEL!$B:$B,MATCH(C248,NIVEL!$A:$A,0)),"¡Código no existe!"))</f>
        <v>Tee mecánica D=2-1/2x1-1/2"</v>
      </c>
      <c r="E248" s="10" t="str">
        <f aca="false">IF(C248="","",IFERROR(INDEX(NIVEL!$C:$C,MATCH(C248,NIVEL!$A:$A,0)),""))</f>
        <v>Un.</v>
      </c>
      <c r="F248" s="10" t="s">
        <v>1022</v>
      </c>
      <c r="G248" s="10" t="n">
        <f aca="false">IFERROR(MATCH(F248,LISTAS!$D$2:$D$22,0),99)</f>
        <v>20</v>
      </c>
      <c r="H248" s="13" t="n">
        <v>1</v>
      </c>
      <c r="I248" s="10" t="s">
        <v>1085</v>
      </c>
      <c r="J248" s="10" t="s">
        <v>1083</v>
      </c>
      <c r="K248" s="10" t="s">
        <v>1087</v>
      </c>
      <c r="L248" s="10"/>
      <c r="M248" s="10" t="str">
        <f aca="false">IF(C248="","SIN ASIGNAR","ASIGNADO")</f>
        <v>ASIGNADO</v>
      </c>
      <c r="N248" s="10" t="s">
        <v>995</v>
      </c>
    </row>
    <row r="249" customFormat="false" ht="15" hidden="false" customHeight="false" outlineLevel="0" collapsed="false">
      <c r="A249" s="10" t="n">
        <v>244</v>
      </c>
      <c r="B249" s="10" t="s">
        <v>25</v>
      </c>
      <c r="C249" s="8" t="s">
        <v>815</v>
      </c>
      <c r="D249" s="10" t="str">
        <f aca="false">IF(C249="","",IFERROR(INDEX(NIVEL!$B:$B,MATCH(C249,NIVEL!$A:$A,0)),"¡Código no existe!"))</f>
        <v>Tee mecánica D=2-1/2x1-1/2"</v>
      </c>
      <c r="E249" s="10" t="str">
        <f aca="false">IF(C249="","",IFERROR(INDEX(NIVEL!$C:$C,MATCH(C249,NIVEL!$A:$A,0)),""))</f>
        <v>Un.</v>
      </c>
      <c r="F249" s="10" t="s">
        <v>1059</v>
      </c>
      <c r="G249" s="10" t="n">
        <f aca="false">IFERROR(MATCH(F249,LISTAS!$D$2:$D$22,0),99)</f>
        <v>21</v>
      </c>
      <c r="H249" s="13" t="n">
        <v>1</v>
      </c>
      <c r="I249" s="10" t="s">
        <v>1085</v>
      </c>
      <c r="J249" s="10" t="s">
        <v>1083</v>
      </c>
      <c r="K249" s="10" t="s">
        <v>1087</v>
      </c>
      <c r="L249" s="10"/>
      <c r="M249" s="10" t="str">
        <f aca="false">IF(C249="","SIN ASIGNAR","ASIGNADO")</f>
        <v>ASIGNADO</v>
      </c>
      <c r="N249" s="10" t="s">
        <v>995</v>
      </c>
    </row>
    <row r="250" customFormat="false" ht="15" hidden="false" customHeight="false" outlineLevel="0" collapsed="false">
      <c r="A250" s="10" t="n">
        <v>245</v>
      </c>
      <c r="B250" s="10" t="s">
        <v>25</v>
      </c>
      <c r="C250" s="8" t="s">
        <v>803</v>
      </c>
      <c r="D250" s="10" t="str">
        <f aca="false">IF(C250="","",IFERROR(INDEX(NIVEL!$B:$B,MATCH(C250,NIVEL!$A:$A,0)),"¡Código no existe!"))</f>
        <v>Tee mecánica SCH-10 D=2"</v>
      </c>
      <c r="E250" s="10" t="str">
        <f aca="false">IF(C250="","",IFERROR(INDEX(NIVEL!$C:$C,MATCH(C250,NIVEL!$A:$A,0)),""))</f>
        <v>Un.</v>
      </c>
      <c r="F250" s="10" t="s">
        <v>1014</v>
      </c>
      <c r="G250" s="10" t="n">
        <f aca="false">IFERROR(MATCH(F250,LISTAS!$D$2:$D$22,0),99)</f>
        <v>7</v>
      </c>
      <c r="H250" s="13" t="n">
        <v>6</v>
      </c>
      <c r="I250" s="10" t="s">
        <v>1088</v>
      </c>
      <c r="J250" s="10" t="s">
        <v>1089</v>
      </c>
      <c r="K250" s="10" t="s">
        <v>990</v>
      </c>
      <c r="L250" s="10"/>
      <c r="M250" s="10" t="str">
        <f aca="false">IF(C250="","SIN ASIGNAR","ASIGNADO")</f>
        <v>ASIGNADO</v>
      </c>
      <c r="N250" s="10" t="s">
        <v>995</v>
      </c>
    </row>
    <row r="251" customFormat="false" ht="15" hidden="false" customHeight="false" outlineLevel="0" collapsed="false">
      <c r="A251" s="10" t="n">
        <v>246</v>
      </c>
      <c r="B251" s="10" t="s">
        <v>25</v>
      </c>
      <c r="C251" s="8" t="s">
        <v>811</v>
      </c>
      <c r="D251" s="10" t="str">
        <f aca="false">IF(C251="","",IFERROR(INDEX(NIVEL!$B:$B,MATCH(C251,NIVEL!$A:$A,0)),"¡Código no existe!"))</f>
        <v>Tee mecanica D=2x2x1"</v>
      </c>
      <c r="E251" s="10" t="str">
        <f aca="false">IF(C251="","",IFERROR(INDEX(NIVEL!$C:$C,MATCH(C251,NIVEL!$A:$A,0)),""))</f>
        <v>Un.</v>
      </c>
      <c r="F251" s="10" t="s">
        <v>1017</v>
      </c>
      <c r="G251" s="10" t="n">
        <f aca="false">IFERROR(MATCH(F251,LISTAS!$D$2:$D$22,0),99)</f>
        <v>8</v>
      </c>
      <c r="H251" s="13" t="n">
        <v>15</v>
      </c>
      <c r="I251" s="10" t="s">
        <v>1088</v>
      </c>
      <c r="J251" s="10" t="s">
        <v>1089</v>
      </c>
      <c r="K251" s="10" t="s">
        <v>1084</v>
      </c>
      <c r="L251" s="10"/>
      <c r="M251" s="10" t="str">
        <f aca="false">IF(C251="","SIN ASIGNAR","ASIGNADO")</f>
        <v>ASIGNADO</v>
      </c>
      <c r="N251" s="10" t="s">
        <v>995</v>
      </c>
    </row>
    <row r="252" customFormat="false" ht="15" hidden="false" customHeight="false" outlineLevel="0" collapsed="false">
      <c r="A252" s="10" t="n">
        <v>247</v>
      </c>
      <c r="B252" s="10" t="s">
        <v>25</v>
      </c>
      <c r="C252" s="8" t="s">
        <v>805</v>
      </c>
      <c r="D252" s="10" t="str">
        <f aca="false">IF(C252="","",IFERROR(INDEX(NIVEL!$B:$B,MATCH(C252,NIVEL!$A:$A,0)),"¡Código no existe!"))</f>
        <v>Tee mecánica SCH-10 D=3"</v>
      </c>
      <c r="E252" s="10" t="str">
        <f aca="false">IF(C252="","",IFERROR(INDEX(NIVEL!$C:$C,MATCH(C252,NIVEL!$A:$A,0)),""))</f>
        <v>Un.</v>
      </c>
      <c r="F252" s="10" t="s">
        <v>1031</v>
      </c>
      <c r="G252" s="10" t="n">
        <f aca="false">IFERROR(MATCH(F252,LISTAS!$D$2:$D$22,0),99)</f>
        <v>2</v>
      </c>
      <c r="H252" s="13" t="n">
        <v>14</v>
      </c>
      <c r="I252" s="10" t="s">
        <v>1090</v>
      </c>
      <c r="J252" s="10" t="s">
        <v>1089</v>
      </c>
      <c r="K252" s="10" t="s">
        <v>1091</v>
      </c>
      <c r="L252" s="10"/>
      <c r="M252" s="10" t="str">
        <f aca="false">IF(C252="","SIN ASIGNAR","ASIGNADO")</f>
        <v>ASIGNADO</v>
      </c>
      <c r="N252" s="10" t="s">
        <v>995</v>
      </c>
    </row>
    <row r="253" customFormat="false" ht="15" hidden="false" customHeight="false" outlineLevel="0" collapsed="false">
      <c r="A253" s="10" t="n">
        <v>248</v>
      </c>
      <c r="B253" s="10" t="s">
        <v>25</v>
      </c>
      <c r="C253" s="8" t="s">
        <v>805</v>
      </c>
      <c r="D253" s="10" t="str">
        <f aca="false">IF(C253="","",IFERROR(INDEX(NIVEL!$B:$B,MATCH(C253,NIVEL!$A:$A,0)),"¡Código no existe!"))</f>
        <v>Tee mecánica SCH-10 D=3"</v>
      </c>
      <c r="E253" s="10" t="str">
        <f aca="false">IF(C253="","",IFERROR(INDEX(NIVEL!$C:$C,MATCH(C253,NIVEL!$A:$A,0)),""))</f>
        <v>Un.</v>
      </c>
      <c r="F253" s="10" t="s">
        <v>1008</v>
      </c>
      <c r="G253" s="10" t="n">
        <f aca="false">IFERROR(MATCH(F253,LISTAS!$D$2:$D$22,0),99)</f>
        <v>3</v>
      </c>
      <c r="H253" s="13" t="n">
        <v>9</v>
      </c>
      <c r="I253" s="10" t="s">
        <v>1090</v>
      </c>
      <c r="J253" s="10" t="s">
        <v>1089</v>
      </c>
      <c r="K253" s="10" t="s">
        <v>1091</v>
      </c>
      <c r="L253" s="10"/>
      <c r="M253" s="10" t="str">
        <f aca="false">IF(C253="","SIN ASIGNAR","ASIGNADO")</f>
        <v>ASIGNADO</v>
      </c>
      <c r="N253" s="10" t="s">
        <v>995</v>
      </c>
    </row>
    <row r="254" customFormat="false" ht="15" hidden="false" customHeight="false" outlineLevel="0" collapsed="false">
      <c r="A254" s="10" t="n">
        <v>249</v>
      </c>
      <c r="B254" s="10" t="s">
        <v>25</v>
      </c>
      <c r="C254" s="8" t="s">
        <v>805</v>
      </c>
      <c r="D254" s="10" t="str">
        <f aca="false">IF(C254="","",IFERROR(INDEX(NIVEL!$B:$B,MATCH(C254,NIVEL!$A:$A,0)),"¡Código no existe!"))</f>
        <v>Tee mecánica SCH-10 D=3"</v>
      </c>
      <c r="E254" s="10" t="str">
        <f aca="false">IF(C254="","",IFERROR(INDEX(NIVEL!$C:$C,MATCH(C254,NIVEL!$A:$A,0)),""))</f>
        <v>Un.</v>
      </c>
      <c r="F254" s="10" t="s">
        <v>1011</v>
      </c>
      <c r="G254" s="10" t="n">
        <f aca="false">IFERROR(MATCH(F254,LISTAS!$D$2:$D$22,0),99)</f>
        <v>4</v>
      </c>
      <c r="H254" s="13" t="n">
        <v>35</v>
      </c>
      <c r="I254" s="10" t="s">
        <v>1090</v>
      </c>
      <c r="J254" s="10" t="s">
        <v>1089</v>
      </c>
      <c r="K254" s="10" t="s">
        <v>1091</v>
      </c>
      <c r="L254" s="10"/>
      <c r="M254" s="10" t="str">
        <f aca="false">IF(C254="","SIN ASIGNAR","ASIGNADO")</f>
        <v>ASIGNADO</v>
      </c>
      <c r="N254" s="10" t="s">
        <v>995</v>
      </c>
    </row>
    <row r="255" customFormat="false" ht="15" hidden="false" customHeight="false" outlineLevel="0" collapsed="false">
      <c r="A255" s="10" t="n">
        <v>250</v>
      </c>
      <c r="B255" s="10" t="s">
        <v>25</v>
      </c>
      <c r="C255" s="8" t="s">
        <v>805</v>
      </c>
      <c r="D255" s="10" t="str">
        <f aca="false">IF(C255="","",IFERROR(INDEX(NIVEL!$B:$B,MATCH(C255,NIVEL!$A:$A,0)),"¡Código no existe!"))</f>
        <v>Tee mecánica SCH-10 D=3"</v>
      </c>
      <c r="E255" s="10" t="str">
        <f aca="false">IF(C255="","",IFERROR(INDEX(NIVEL!$C:$C,MATCH(C255,NIVEL!$A:$A,0)),""))</f>
        <v>Un.</v>
      </c>
      <c r="F255" s="10" t="s">
        <v>1012</v>
      </c>
      <c r="G255" s="10" t="n">
        <f aca="false">IFERROR(MATCH(F255,LISTAS!$D$2:$D$22,0),99)</f>
        <v>5</v>
      </c>
      <c r="H255" s="13" t="n">
        <v>32</v>
      </c>
      <c r="I255" s="10" t="s">
        <v>1090</v>
      </c>
      <c r="J255" s="10" t="s">
        <v>1089</v>
      </c>
      <c r="K255" s="10" t="s">
        <v>1091</v>
      </c>
      <c r="L255" s="10"/>
      <c r="M255" s="10" t="str">
        <f aca="false">IF(C255="","SIN ASIGNAR","ASIGNADO")</f>
        <v>ASIGNADO</v>
      </c>
      <c r="N255" s="10" t="s">
        <v>995</v>
      </c>
    </row>
    <row r="256" customFormat="false" ht="15" hidden="false" customHeight="false" outlineLevel="0" collapsed="false">
      <c r="A256" s="10" t="n">
        <v>251</v>
      </c>
      <c r="B256" s="10" t="s">
        <v>25</v>
      </c>
      <c r="C256" s="8" t="s">
        <v>805</v>
      </c>
      <c r="D256" s="10" t="str">
        <f aca="false">IF(C256="","",IFERROR(INDEX(NIVEL!$B:$B,MATCH(C256,NIVEL!$A:$A,0)),"¡Código no existe!"))</f>
        <v>Tee mecánica SCH-10 D=3"</v>
      </c>
      <c r="E256" s="10" t="str">
        <f aca="false">IF(C256="","",IFERROR(INDEX(NIVEL!$C:$C,MATCH(C256,NIVEL!$A:$A,0)),""))</f>
        <v>Un.</v>
      </c>
      <c r="F256" s="10" t="s">
        <v>1013</v>
      </c>
      <c r="G256" s="10" t="n">
        <f aca="false">IFERROR(MATCH(F256,LISTAS!$D$2:$D$22,0),99)</f>
        <v>6</v>
      </c>
      <c r="H256" s="13" t="n">
        <v>32</v>
      </c>
      <c r="I256" s="10" t="s">
        <v>1090</v>
      </c>
      <c r="J256" s="10" t="s">
        <v>1089</v>
      </c>
      <c r="K256" s="10" t="s">
        <v>1091</v>
      </c>
      <c r="L256" s="10"/>
      <c r="M256" s="10" t="str">
        <f aca="false">IF(C256="","SIN ASIGNAR","ASIGNADO")</f>
        <v>ASIGNADO</v>
      </c>
      <c r="N256" s="10" t="s">
        <v>995</v>
      </c>
    </row>
    <row r="257" customFormat="false" ht="15" hidden="false" customHeight="false" outlineLevel="0" collapsed="false">
      <c r="A257" s="10" t="n">
        <v>252</v>
      </c>
      <c r="B257" s="10" t="s">
        <v>25</v>
      </c>
      <c r="C257" s="8" t="s">
        <v>805</v>
      </c>
      <c r="D257" s="10" t="str">
        <f aca="false">IF(C257="","",IFERROR(INDEX(NIVEL!$B:$B,MATCH(C257,NIVEL!$A:$A,0)),"¡Código no existe!"))</f>
        <v>Tee mecánica SCH-10 D=3"</v>
      </c>
      <c r="E257" s="10" t="str">
        <f aca="false">IF(C257="","",IFERROR(INDEX(NIVEL!$C:$C,MATCH(C257,NIVEL!$A:$A,0)),""))</f>
        <v>Un.</v>
      </c>
      <c r="F257" s="10" t="s">
        <v>1014</v>
      </c>
      <c r="G257" s="10" t="n">
        <f aca="false">IFERROR(MATCH(F257,LISTAS!$D$2:$D$22,0),99)</f>
        <v>7</v>
      </c>
      <c r="H257" s="13" t="n">
        <v>55</v>
      </c>
      <c r="I257" s="10" t="s">
        <v>1090</v>
      </c>
      <c r="J257" s="10" t="s">
        <v>1089</v>
      </c>
      <c r="K257" s="10" t="s">
        <v>1091</v>
      </c>
      <c r="L257" s="10"/>
      <c r="M257" s="10" t="str">
        <f aca="false">IF(C257="","SIN ASIGNAR","ASIGNADO")</f>
        <v>ASIGNADO</v>
      </c>
      <c r="N257" s="10" t="s">
        <v>995</v>
      </c>
    </row>
    <row r="258" customFormat="false" ht="15" hidden="false" customHeight="false" outlineLevel="0" collapsed="false">
      <c r="A258" s="10" t="n">
        <v>253</v>
      </c>
      <c r="B258" s="10" t="s">
        <v>25</v>
      </c>
      <c r="C258" s="8" t="s">
        <v>805</v>
      </c>
      <c r="D258" s="10" t="str">
        <f aca="false">IF(C258="","",IFERROR(INDEX(NIVEL!$B:$B,MATCH(C258,NIVEL!$A:$A,0)),"¡Código no existe!"))</f>
        <v>Tee mecánica SCH-10 D=3"</v>
      </c>
      <c r="E258" s="10" t="str">
        <f aca="false">IF(C258="","",IFERROR(INDEX(NIVEL!$C:$C,MATCH(C258,NIVEL!$A:$A,0)),""))</f>
        <v>Un.</v>
      </c>
      <c r="F258" s="10" t="s">
        <v>1017</v>
      </c>
      <c r="G258" s="10" t="n">
        <f aca="false">IFERROR(MATCH(F258,LISTAS!$D$2:$D$22,0),99)</f>
        <v>8</v>
      </c>
      <c r="H258" s="13" t="n">
        <v>16</v>
      </c>
      <c r="I258" s="10" t="s">
        <v>1090</v>
      </c>
      <c r="J258" s="10" t="s">
        <v>1089</v>
      </c>
      <c r="K258" s="10" t="s">
        <v>1091</v>
      </c>
      <c r="L258" s="10"/>
      <c r="M258" s="10" t="str">
        <f aca="false">IF(C258="","SIN ASIGNAR","ASIGNADO")</f>
        <v>ASIGNADO</v>
      </c>
      <c r="N258" s="10" t="s">
        <v>995</v>
      </c>
    </row>
    <row r="259" customFormat="false" ht="15" hidden="false" customHeight="false" outlineLevel="0" collapsed="false">
      <c r="A259" s="10" t="n">
        <v>254</v>
      </c>
      <c r="B259" s="10" t="s">
        <v>25</v>
      </c>
      <c r="C259" s="8" t="s">
        <v>809</v>
      </c>
      <c r="D259" s="10" t="str">
        <f aca="false">IF(C259="","",IFERROR(INDEX(NIVEL!$B:$B,MATCH(C259,NIVEL!$A:$A,0)),"¡Código no existe!"))</f>
        <v>Tee mecanica D=2x6"</v>
      </c>
      <c r="E259" s="10" t="str">
        <f aca="false">IF(C259="","",IFERROR(INDEX(NIVEL!$C:$C,MATCH(C259,NIVEL!$A:$A,0)),""))</f>
        <v>Un.</v>
      </c>
      <c r="F259" s="10" t="s">
        <v>987</v>
      </c>
      <c r="G259" s="10" t="n">
        <f aca="false">IFERROR(MATCH(F259,LISTAS!$D$2:$D$22,0),99)</f>
        <v>1</v>
      </c>
      <c r="H259" s="13" t="n">
        <v>2</v>
      </c>
      <c r="I259" s="10" t="s">
        <v>1092</v>
      </c>
      <c r="J259" s="10" t="s">
        <v>1089</v>
      </c>
      <c r="K259" s="10" t="s">
        <v>1093</v>
      </c>
      <c r="L259" s="10"/>
      <c r="M259" s="10" t="str">
        <f aca="false">IF(C259="","SIN ASIGNAR","ASIGNADO")</f>
        <v>ASIGNADO</v>
      </c>
      <c r="N259" s="10" t="s">
        <v>995</v>
      </c>
    </row>
    <row r="260" customFormat="false" ht="15" hidden="false" customHeight="false" outlineLevel="0" collapsed="false">
      <c r="A260" s="10" t="n">
        <v>255</v>
      </c>
      <c r="B260" s="10" t="s">
        <v>25</v>
      </c>
      <c r="C260" s="8" t="s">
        <v>817</v>
      </c>
      <c r="D260" s="10" t="str">
        <f aca="false">IF(C260="","",IFERROR(INDEX(NIVEL!$B:$B,MATCH(C260,NIVEL!$A:$A,0)),"¡Código no existe!"))</f>
        <v>Tee mecánica D=6x2-1/2"</v>
      </c>
      <c r="E260" s="10" t="str">
        <f aca="false">IF(C260="","",IFERROR(INDEX(NIVEL!$C:$C,MATCH(C260,NIVEL!$A:$A,0)),""))</f>
        <v>Un.</v>
      </c>
      <c r="F260" s="10" t="s">
        <v>1008</v>
      </c>
      <c r="G260" s="10" t="n">
        <f aca="false">IFERROR(MATCH(F260,LISTAS!$D$2:$D$22,0),99)</f>
        <v>3</v>
      </c>
      <c r="H260" s="13" t="n">
        <v>1</v>
      </c>
      <c r="I260" s="10" t="s">
        <v>1092</v>
      </c>
      <c r="J260" s="10" t="s">
        <v>1089</v>
      </c>
      <c r="K260" s="10" t="s">
        <v>1094</v>
      </c>
      <c r="L260" s="10"/>
      <c r="M260" s="10" t="str">
        <f aca="false">IF(C260="","SIN ASIGNAR","ASIGNADO")</f>
        <v>ASIGNADO</v>
      </c>
      <c r="N260" s="10" t="s">
        <v>995</v>
      </c>
    </row>
    <row r="261" customFormat="false" ht="15" hidden="false" customHeight="false" outlineLevel="0" collapsed="false">
      <c r="A261" s="10" t="n">
        <v>256</v>
      </c>
      <c r="B261" s="10" t="s">
        <v>25</v>
      </c>
      <c r="C261" s="8" t="s">
        <v>817</v>
      </c>
      <c r="D261" s="10" t="str">
        <f aca="false">IF(C261="","",IFERROR(INDEX(NIVEL!$B:$B,MATCH(C261,NIVEL!$A:$A,0)),"¡Código no existe!"))</f>
        <v>Tee mecánica D=6x2-1/2"</v>
      </c>
      <c r="E261" s="10" t="str">
        <f aca="false">IF(C261="","",IFERROR(INDEX(NIVEL!$C:$C,MATCH(C261,NIVEL!$A:$A,0)),""))</f>
        <v>Un.</v>
      </c>
      <c r="F261" s="10" t="s">
        <v>1011</v>
      </c>
      <c r="G261" s="10" t="n">
        <f aca="false">IFERROR(MATCH(F261,LISTAS!$D$2:$D$22,0),99)</f>
        <v>4</v>
      </c>
      <c r="H261" s="13" t="n">
        <v>1</v>
      </c>
      <c r="I261" s="10" t="s">
        <v>1092</v>
      </c>
      <c r="J261" s="10" t="s">
        <v>1089</v>
      </c>
      <c r="K261" s="10" t="s">
        <v>1094</v>
      </c>
      <c r="L261" s="10"/>
      <c r="M261" s="10" t="str">
        <f aca="false">IF(C261="","SIN ASIGNAR","ASIGNADO")</f>
        <v>ASIGNADO</v>
      </c>
      <c r="N261" s="10" t="s">
        <v>995</v>
      </c>
    </row>
    <row r="262" customFormat="false" ht="15" hidden="false" customHeight="false" outlineLevel="0" collapsed="false">
      <c r="A262" s="10" t="n">
        <v>257</v>
      </c>
      <c r="B262" s="10" t="s">
        <v>25</v>
      </c>
      <c r="C262" s="8" t="s">
        <v>817</v>
      </c>
      <c r="D262" s="10" t="str">
        <f aca="false">IF(C262="","",IFERROR(INDEX(NIVEL!$B:$B,MATCH(C262,NIVEL!$A:$A,0)),"¡Código no existe!"))</f>
        <v>Tee mecánica D=6x2-1/2"</v>
      </c>
      <c r="E262" s="10" t="str">
        <f aca="false">IF(C262="","",IFERROR(INDEX(NIVEL!$C:$C,MATCH(C262,NIVEL!$A:$A,0)),""))</f>
        <v>Un.</v>
      </c>
      <c r="F262" s="10" t="s">
        <v>1012</v>
      </c>
      <c r="G262" s="10" t="n">
        <f aca="false">IFERROR(MATCH(F262,LISTAS!$D$2:$D$22,0),99)</f>
        <v>5</v>
      </c>
      <c r="H262" s="13" t="n">
        <v>1</v>
      </c>
      <c r="I262" s="10" t="s">
        <v>1092</v>
      </c>
      <c r="J262" s="10" t="s">
        <v>1089</v>
      </c>
      <c r="K262" s="10" t="s">
        <v>1094</v>
      </c>
      <c r="L262" s="10"/>
      <c r="M262" s="10" t="str">
        <f aca="false">IF(C262="","SIN ASIGNAR","ASIGNADO")</f>
        <v>ASIGNADO</v>
      </c>
      <c r="N262" s="10" t="s">
        <v>995</v>
      </c>
    </row>
    <row r="263" customFormat="false" ht="15" hidden="false" customHeight="false" outlineLevel="0" collapsed="false">
      <c r="A263" s="10" t="n">
        <v>258</v>
      </c>
      <c r="B263" s="10" t="s">
        <v>25</v>
      </c>
      <c r="C263" s="8" t="s">
        <v>817</v>
      </c>
      <c r="D263" s="10" t="str">
        <f aca="false">IF(C263="","",IFERROR(INDEX(NIVEL!$B:$B,MATCH(C263,NIVEL!$A:$A,0)),"¡Código no existe!"))</f>
        <v>Tee mecánica D=6x2-1/2"</v>
      </c>
      <c r="E263" s="10" t="str">
        <f aca="false">IF(C263="","",IFERROR(INDEX(NIVEL!$C:$C,MATCH(C263,NIVEL!$A:$A,0)),""))</f>
        <v>Un.</v>
      </c>
      <c r="F263" s="10" t="s">
        <v>1013</v>
      </c>
      <c r="G263" s="10" t="n">
        <f aca="false">IFERROR(MATCH(F263,LISTAS!$D$2:$D$22,0),99)</f>
        <v>6</v>
      </c>
      <c r="H263" s="13" t="n">
        <v>1</v>
      </c>
      <c r="I263" s="10" t="s">
        <v>1092</v>
      </c>
      <c r="J263" s="10" t="s">
        <v>1089</v>
      </c>
      <c r="K263" s="10" t="s">
        <v>1094</v>
      </c>
      <c r="L263" s="10"/>
      <c r="M263" s="10" t="str">
        <f aca="false">IF(C263="","SIN ASIGNAR","ASIGNADO")</f>
        <v>ASIGNADO</v>
      </c>
      <c r="N263" s="10" t="s">
        <v>995</v>
      </c>
    </row>
    <row r="264" customFormat="false" ht="15" hidden="false" customHeight="false" outlineLevel="0" collapsed="false">
      <c r="A264" s="10" t="n">
        <v>259</v>
      </c>
      <c r="B264" s="10" t="s">
        <v>25</v>
      </c>
      <c r="C264" s="8" t="s">
        <v>817</v>
      </c>
      <c r="D264" s="10" t="str">
        <f aca="false">IF(C264="","",IFERROR(INDEX(NIVEL!$B:$B,MATCH(C264,NIVEL!$A:$A,0)),"¡Código no existe!"))</f>
        <v>Tee mecánica D=6x2-1/2"</v>
      </c>
      <c r="E264" s="10" t="str">
        <f aca="false">IF(C264="","",IFERROR(INDEX(NIVEL!$C:$C,MATCH(C264,NIVEL!$A:$A,0)),""))</f>
        <v>Un.</v>
      </c>
      <c r="F264" s="10" t="s">
        <v>1014</v>
      </c>
      <c r="G264" s="10" t="n">
        <f aca="false">IFERROR(MATCH(F264,LISTAS!$D$2:$D$22,0),99)</f>
        <v>7</v>
      </c>
      <c r="H264" s="13" t="n">
        <v>2</v>
      </c>
      <c r="I264" s="10" t="s">
        <v>1092</v>
      </c>
      <c r="J264" s="10" t="s">
        <v>1089</v>
      </c>
      <c r="K264" s="10" t="s">
        <v>1094</v>
      </c>
      <c r="L264" s="10"/>
      <c r="M264" s="10" t="str">
        <f aca="false">IF(C264="","SIN ASIGNAR","ASIGNADO")</f>
        <v>ASIGNADO</v>
      </c>
      <c r="N264" s="10" t="s">
        <v>995</v>
      </c>
    </row>
    <row r="265" customFormat="false" ht="15" hidden="false" customHeight="false" outlineLevel="0" collapsed="false">
      <c r="A265" s="10" t="n">
        <v>260</v>
      </c>
      <c r="B265" s="10" t="s">
        <v>25</v>
      </c>
      <c r="C265" s="8" t="s">
        <v>817</v>
      </c>
      <c r="D265" s="10" t="str">
        <f aca="false">IF(C265="","",IFERROR(INDEX(NIVEL!$B:$B,MATCH(C265,NIVEL!$A:$A,0)),"¡Código no existe!"))</f>
        <v>Tee mecánica D=6x2-1/2"</v>
      </c>
      <c r="E265" s="10" t="str">
        <f aca="false">IF(C265="","",IFERROR(INDEX(NIVEL!$C:$C,MATCH(C265,NIVEL!$A:$A,0)),""))</f>
        <v>Un.</v>
      </c>
      <c r="F265" s="10" t="s">
        <v>1017</v>
      </c>
      <c r="G265" s="10" t="n">
        <f aca="false">IFERROR(MATCH(F265,LISTAS!$D$2:$D$22,0),99)</f>
        <v>8</v>
      </c>
      <c r="H265" s="13" t="n">
        <v>1</v>
      </c>
      <c r="I265" s="10" t="s">
        <v>1092</v>
      </c>
      <c r="J265" s="10" t="s">
        <v>1089</v>
      </c>
      <c r="K265" s="10" t="s">
        <v>1094</v>
      </c>
      <c r="L265" s="10"/>
      <c r="M265" s="10" t="str">
        <f aca="false">IF(C265="","SIN ASIGNAR","ASIGNADO")</f>
        <v>ASIGNADO</v>
      </c>
      <c r="N265" s="10" t="s">
        <v>995</v>
      </c>
    </row>
    <row r="266" customFormat="false" ht="15" hidden="false" customHeight="false" outlineLevel="0" collapsed="false">
      <c r="A266" s="10" t="n">
        <v>261</v>
      </c>
      <c r="B266" s="10" t="s">
        <v>25</v>
      </c>
      <c r="C266" s="8" t="s">
        <v>801</v>
      </c>
      <c r="D266" s="10" t="str">
        <f aca="false">IF(C266="","",IFERROR(INDEX(NIVEL!$B:$B,MATCH(C266,NIVEL!$A:$A,0)),"¡Código no existe!"))</f>
        <v>Tee mecánica SCH-40 D=1 1/2"</v>
      </c>
      <c r="E266" s="10" t="str">
        <f aca="false">IF(C266="","",IFERROR(INDEX(NIVEL!$C:$C,MATCH(C266,NIVEL!$A:$A,0)),""))</f>
        <v>Un.</v>
      </c>
      <c r="F266" s="10" t="s">
        <v>1031</v>
      </c>
      <c r="G266" s="10" t="n">
        <f aca="false">IFERROR(MATCH(F266,LISTAS!$D$2:$D$22,0),99)</f>
        <v>2</v>
      </c>
      <c r="H266" s="13" t="n">
        <v>5</v>
      </c>
      <c r="I266" s="10" t="s">
        <v>1095</v>
      </c>
      <c r="J266" s="10" t="s">
        <v>1096</v>
      </c>
      <c r="K266" s="10" t="s">
        <v>1086</v>
      </c>
      <c r="L266" s="10"/>
      <c r="M266" s="10" t="str">
        <f aca="false">IF(C266="","SIN ASIGNAR","ASIGNADO")</f>
        <v>ASIGNADO</v>
      </c>
      <c r="N266" s="10" t="s">
        <v>995</v>
      </c>
    </row>
    <row r="267" customFormat="false" ht="15" hidden="false" customHeight="false" outlineLevel="0" collapsed="false">
      <c r="A267" s="10" t="n">
        <v>262</v>
      </c>
      <c r="B267" s="10" t="s">
        <v>25</v>
      </c>
      <c r="C267" s="8" t="s">
        <v>801</v>
      </c>
      <c r="D267" s="10" t="str">
        <f aca="false">IF(C267="","",IFERROR(INDEX(NIVEL!$B:$B,MATCH(C267,NIVEL!$A:$A,0)),"¡Código no existe!"))</f>
        <v>Tee mecánica SCH-40 D=1 1/2"</v>
      </c>
      <c r="E267" s="10" t="str">
        <f aca="false">IF(C267="","",IFERROR(INDEX(NIVEL!$C:$C,MATCH(C267,NIVEL!$A:$A,0)),""))</f>
        <v>Un.</v>
      </c>
      <c r="F267" s="10" t="s">
        <v>1011</v>
      </c>
      <c r="G267" s="10" t="n">
        <f aca="false">IFERROR(MATCH(F267,LISTAS!$D$2:$D$22,0),99)</f>
        <v>4</v>
      </c>
      <c r="H267" s="13" t="n">
        <v>37</v>
      </c>
      <c r="I267" s="10" t="s">
        <v>1095</v>
      </c>
      <c r="J267" s="10" t="s">
        <v>1096</v>
      </c>
      <c r="K267" s="10" t="s">
        <v>1086</v>
      </c>
      <c r="L267" s="10"/>
      <c r="M267" s="10" t="str">
        <f aca="false">IF(C267="","SIN ASIGNAR","ASIGNADO")</f>
        <v>ASIGNADO</v>
      </c>
      <c r="N267" s="10" t="s">
        <v>995</v>
      </c>
    </row>
    <row r="268" customFormat="false" ht="15" hidden="false" customHeight="false" outlineLevel="0" collapsed="false">
      <c r="A268" s="10" t="n">
        <v>263</v>
      </c>
      <c r="B268" s="10" t="s">
        <v>25</v>
      </c>
      <c r="C268" s="8" t="s">
        <v>801</v>
      </c>
      <c r="D268" s="10" t="str">
        <f aca="false">IF(C268="","",IFERROR(INDEX(NIVEL!$B:$B,MATCH(C268,NIVEL!$A:$A,0)),"¡Código no existe!"))</f>
        <v>Tee mecánica SCH-40 D=1 1/2"</v>
      </c>
      <c r="E268" s="10" t="str">
        <f aca="false">IF(C268="","",IFERROR(INDEX(NIVEL!$C:$C,MATCH(C268,NIVEL!$A:$A,0)),""))</f>
        <v>Un.</v>
      </c>
      <c r="F268" s="10" t="s">
        <v>1012</v>
      </c>
      <c r="G268" s="10" t="n">
        <f aca="false">IFERROR(MATCH(F268,LISTAS!$D$2:$D$22,0),99)</f>
        <v>5</v>
      </c>
      <c r="H268" s="13" t="n">
        <v>51</v>
      </c>
      <c r="I268" s="10" t="s">
        <v>1095</v>
      </c>
      <c r="J268" s="10" t="s">
        <v>1096</v>
      </c>
      <c r="K268" s="10" t="s">
        <v>1086</v>
      </c>
      <c r="L268" s="10"/>
      <c r="M268" s="10" t="str">
        <f aca="false">IF(C268="","SIN ASIGNAR","ASIGNADO")</f>
        <v>ASIGNADO</v>
      </c>
      <c r="N268" s="10" t="s">
        <v>995</v>
      </c>
    </row>
    <row r="269" customFormat="false" ht="15" hidden="false" customHeight="false" outlineLevel="0" collapsed="false">
      <c r="A269" s="10" t="n">
        <v>264</v>
      </c>
      <c r="B269" s="10" t="s">
        <v>25</v>
      </c>
      <c r="C269" s="8" t="s">
        <v>801</v>
      </c>
      <c r="D269" s="10" t="str">
        <f aca="false">IF(C269="","",IFERROR(INDEX(NIVEL!$B:$B,MATCH(C269,NIVEL!$A:$A,0)),"¡Código no existe!"))</f>
        <v>Tee mecánica SCH-40 D=1 1/2"</v>
      </c>
      <c r="E269" s="10" t="str">
        <f aca="false">IF(C269="","",IFERROR(INDEX(NIVEL!$C:$C,MATCH(C269,NIVEL!$A:$A,0)),""))</f>
        <v>Un.</v>
      </c>
      <c r="F269" s="10" t="s">
        <v>1013</v>
      </c>
      <c r="G269" s="10" t="n">
        <f aca="false">IFERROR(MATCH(F269,LISTAS!$D$2:$D$22,0),99)</f>
        <v>6</v>
      </c>
      <c r="H269" s="13" t="n">
        <v>50</v>
      </c>
      <c r="I269" s="10" t="s">
        <v>1095</v>
      </c>
      <c r="J269" s="10" t="s">
        <v>1096</v>
      </c>
      <c r="K269" s="10" t="s">
        <v>1086</v>
      </c>
      <c r="L269" s="10"/>
      <c r="M269" s="10" t="str">
        <f aca="false">IF(C269="","SIN ASIGNAR","ASIGNADO")</f>
        <v>ASIGNADO</v>
      </c>
      <c r="N269" s="10" t="s">
        <v>995</v>
      </c>
    </row>
    <row r="270" customFormat="false" ht="15" hidden="false" customHeight="false" outlineLevel="0" collapsed="false">
      <c r="A270" s="10" t="n">
        <v>265</v>
      </c>
      <c r="B270" s="10" t="s">
        <v>25</v>
      </c>
      <c r="C270" s="8" t="s">
        <v>801</v>
      </c>
      <c r="D270" s="10" t="str">
        <f aca="false">IF(C270="","",IFERROR(INDEX(NIVEL!$B:$B,MATCH(C270,NIVEL!$A:$A,0)),"¡Código no existe!"))</f>
        <v>Tee mecánica SCH-40 D=1 1/2"</v>
      </c>
      <c r="E270" s="10" t="str">
        <f aca="false">IF(C270="","",IFERROR(INDEX(NIVEL!$C:$C,MATCH(C270,NIVEL!$A:$A,0)),""))</f>
        <v>Un.</v>
      </c>
      <c r="F270" s="10" t="s">
        <v>1014</v>
      </c>
      <c r="G270" s="10" t="n">
        <f aca="false">IFERROR(MATCH(F270,LISTAS!$D$2:$D$22,0),99)</f>
        <v>7</v>
      </c>
      <c r="H270" s="13" t="n">
        <v>41</v>
      </c>
      <c r="I270" s="10" t="s">
        <v>1095</v>
      </c>
      <c r="J270" s="10" t="s">
        <v>1096</v>
      </c>
      <c r="K270" s="10" t="s">
        <v>1086</v>
      </c>
      <c r="L270" s="10"/>
      <c r="M270" s="10" t="str">
        <f aca="false">IF(C270="","SIN ASIGNAR","ASIGNADO")</f>
        <v>ASIGNADO</v>
      </c>
      <c r="N270" s="10" t="s">
        <v>995</v>
      </c>
    </row>
    <row r="271" customFormat="false" ht="15" hidden="false" customHeight="false" outlineLevel="0" collapsed="false">
      <c r="A271" s="10" t="n">
        <v>266</v>
      </c>
      <c r="B271" s="10" t="s">
        <v>25</v>
      </c>
      <c r="C271" s="8" t="s">
        <v>801</v>
      </c>
      <c r="D271" s="10" t="str">
        <f aca="false">IF(C271="","",IFERROR(INDEX(NIVEL!$B:$B,MATCH(C271,NIVEL!$A:$A,0)),"¡Código no existe!"))</f>
        <v>Tee mecánica SCH-40 D=1 1/2"</v>
      </c>
      <c r="E271" s="10" t="str">
        <f aca="false">IF(C271="","",IFERROR(INDEX(NIVEL!$C:$C,MATCH(C271,NIVEL!$A:$A,0)),""))</f>
        <v>Un.</v>
      </c>
      <c r="F271" s="10" t="s">
        <v>1017</v>
      </c>
      <c r="G271" s="10" t="n">
        <f aca="false">IFERROR(MATCH(F271,LISTAS!$D$2:$D$22,0),99)</f>
        <v>8</v>
      </c>
      <c r="H271" s="13" t="n">
        <v>6</v>
      </c>
      <c r="I271" s="10" t="s">
        <v>1095</v>
      </c>
      <c r="J271" s="10" t="s">
        <v>1096</v>
      </c>
      <c r="K271" s="10" t="s">
        <v>1086</v>
      </c>
      <c r="L271" s="10"/>
      <c r="M271" s="10" t="str">
        <f aca="false">IF(C271="","SIN ASIGNAR","ASIGNADO")</f>
        <v>ASIGNADO</v>
      </c>
      <c r="N271" s="10" t="s">
        <v>995</v>
      </c>
    </row>
    <row r="272" customFormat="false" ht="15" hidden="false" customHeight="false" outlineLevel="0" collapsed="false">
      <c r="A272" s="10" t="n">
        <v>267</v>
      </c>
      <c r="B272" s="10" t="s">
        <v>25</v>
      </c>
      <c r="C272" s="8" t="s">
        <v>823</v>
      </c>
      <c r="D272" s="10" t="str">
        <f aca="false">IF(C272="","",IFERROR(INDEX(NIVEL!$B:$B,MATCH(C272,NIVEL!$A:$A,0)),"¡Código no existe!"))</f>
        <v>Tee A.C. SCH-10 D=6"</v>
      </c>
      <c r="E272" s="10" t="str">
        <f aca="false">IF(C272="","",IFERROR(INDEX(NIVEL!$C:$C,MATCH(C272,NIVEL!$A:$A,0)),""))</f>
        <v>Un.</v>
      </c>
      <c r="F272" s="10" t="s">
        <v>1014</v>
      </c>
      <c r="G272" s="10" t="n">
        <f aca="false">IFERROR(MATCH(F272,LISTAS!$D$2:$D$22,0),99)</f>
        <v>7</v>
      </c>
      <c r="H272" s="13" t="n">
        <v>1</v>
      </c>
      <c r="I272" s="10" t="s">
        <v>1097</v>
      </c>
      <c r="J272" s="10" t="s">
        <v>1076</v>
      </c>
      <c r="K272" s="10" t="s">
        <v>1077</v>
      </c>
      <c r="L272" s="10"/>
      <c r="M272" s="10" t="str">
        <f aca="false">IF(C272="","SIN ASIGNAR","ASIGNADO")</f>
        <v>ASIGNADO</v>
      </c>
      <c r="N272" s="10" t="s">
        <v>991</v>
      </c>
    </row>
    <row r="273" customFormat="false" ht="15" hidden="false" customHeight="false" outlineLevel="0" collapsed="false">
      <c r="A273" s="10" t="n">
        <v>268</v>
      </c>
      <c r="B273" s="10" t="s">
        <v>25</v>
      </c>
      <c r="C273" s="8" t="s">
        <v>835</v>
      </c>
      <c r="D273" s="10" t="str">
        <f aca="false">IF(C273="","",IFERROR(INDEX(NIVEL!$B:$B,MATCH(C273,NIVEL!$A:$A,0)),"¡Código no existe!"))</f>
        <v>Transición / reducción A.C. SCH-10</v>
      </c>
      <c r="E273" s="10" t="str">
        <f aca="false">IF(C273="","",IFERROR(INDEX(NIVEL!$C:$C,MATCH(C273,NIVEL!$A:$A,0)),""))</f>
        <v>Un.</v>
      </c>
      <c r="F273" s="10" t="s">
        <v>987</v>
      </c>
      <c r="G273" s="10" t="n">
        <f aca="false">IFERROR(MATCH(F273,LISTAS!$D$2:$D$22,0),99)</f>
        <v>1</v>
      </c>
      <c r="H273" s="13" t="n">
        <v>2</v>
      </c>
      <c r="I273" s="10" t="s">
        <v>1098</v>
      </c>
      <c r="J273" s="10" t="s">
        <v>1099</v>
      </c>
      <c r="K273" s="10" t="s">
        <v>1100</v>
      </c>
      <c r="L273" s="10"/>
      <c r="M273" s="10" t="str">
        <f aca="false">IF(C273="","SIN ASIGNAR","ASIGNADO")</f>
        <v>ASIGNADO</v>
      </c>
      <c r="N273" s="10" t="s">
        <v>991</v>
      </c>
    </row>
    <row r="274" customFormat="false" ht="15" hidden="false" customHeight="false" outlineLevel="0" collapsed="false">
      <c r="A274" s="10" t="n">
        <v>269</v>
      </c>
      <c r="B274" s="10" t="s">
        <v>25</v>
      </c>
      <c r="C274" s="8" t="s">
        <v>835</v>
      </c>
      <c r="D274" s="10" t="str">
        <f aca="false">IF(C274="","",IFERROR(INDEX(NIVEL!$B:$B,MATCH(C274,NIVEL!$A:$A,0)),"¡Código no existe!"))</f>
        <v>Transición / reducción A.C. SCH-10</v>
      </c>
      <c r="E274" s="10" t="str">
        <f aca="false">IF(C274="","",IFERROR(INDEX(NIVEL!$C:$C,MATCH(C274,NIVEL!$A:$A,0)),""))</f>
        <v>Un.</v>
      </c>
      <c r="F274" s="10" t="s">
        <v>1008</v>
      </c>
      <c r="G274" s="10" t="n">
        <f aca="false">IFERROR(MATCH(F274,LISTAS!$D$2:$D$22,0),99)</f>
        <v>3</v>
      </c>
      <c r="H274" s="13" t="n">
        <v>2</v>
      </c>
      <c r="I274" s="10" t="s">
        <v>1098</v>
      </c>
      <c r="J274" s="10" t="s">
        <v>1099</v>
      </c>
      <c r="K274" s="10" t="s">
        <v>1091</v>
      </c>
      <c r="L274" s="10"/>
      <c r="M274" s="10" t="str">
        <f aca="false">IF(C274="","SIN ASIGNAR","ASIGNADO")</f>
        <v>ASIGNADO</v>
      </c>
      <c r="N274" s="10" t="s">
        <v>991</v>
      </c>
    </row>
    <row r="275" customFormat="false" ht="15" hidden="false" customHeight="false" outlineLevel="0" collapsed="false">
      <c r="A275" s="10" t="n">
        <v>270</v>
      </c>
      <c r="B275" s="10" t="s">
        <v>25</v>
      </c>
      <c r="C275" s="8" t="s">
        <v>835</v>
      </c>
      <c r="D275" s="10" t="str">
        <f aca="false">IF(C275="","",IFERROR(INDEX(NIVEL!$B:$B,MATCH(C275,NIVEL!$A:$A,0)),"¡Código no existe!"))</f>
        <v>Transición / reducción A.C. SCH-10</v>
      </c>
      <c r="E275" s="10" t="str">
        <f aca="false">IF(C275="","",IFERROR(INDEX(NIVEL!$C:$C,MATCH(C275,NIVEL!$A:$A,0)),""))</f>
        <v>Un.</v>
      </c>
      <c r="F275" s="10" t="s">
        <v>1011</v>
      </c>
      <c r="G275" s="10" t="n">
        <f aca="false">IFERROR(MATCH(F275,LISTAS!$D$2:$D$22,0),99)</f>
        <v>4</v>
      </c>
      <c r="H275" s="13" t="n">
        <v>1</v>
      </c>
      <c r="I275" s="10" t="s">
        <v>1098</v>
      </c>
      <c r="J275" s="10" t="s">
        <v>1099</v>
      </c>
      <c r="K275" s="10" t="s">
        <v>1101</v>
      </c>
      <c r="L275" s="10"/>
      <c r="M275" s="10" t="str">
        <f aca="false">IF(C275="","SIN ASIGNAR","ASIGNADO")</f>
        <v>ASIGNADO</v>
      </c>
      <c r="N275" s="10" t="s">
        <v>991</v>
      </c>
    </row>
    <row r="276" customFormat="false" ht="15" hidden="false" customHeight="false" outlineLevel="0" collapsed="false">
      <c r="A276" s="10" t="n">
        <v>271</v>
      </c>
      <c r="B276" s="10" t="s">
        <v>25</v>
      </c>
      <c r="C276" s="8" t="s">
        <v>835</v>
      </c>
      <c r="D276" s="10" t="str">
        <f aca="false">IF(C276="","",IFERROR(INDEX(NIVEL!$B:$B,MATCH(C276,NIVEL!$A:$A,0)),"¡Código no existe!"))</f>
        <v>Transición / reducción A.C. SCH-10</v>
      </c>
      <c r="E276" s="10" t="str">
        <f aca="false">IF(C276="","",IFERROR(INDEX(NIVEL!$C:$C,MATCH(C276,NIVEL!$A:$A,0)),""))</f>
        <v>Un.</v>
      </c>
      <c r="F276" s="10" t="s">
        <v>1011</v>
      </c>
      <c r="G276" s="10" t="n">
        <f aca="false">IFERROR(MATCH(F276,LISTAS!$D$2:$D$22,0),99)</f>
        <v>4</v>
      </c>
      <c r="H276" s="13" t="n">
        <v>3</v>
      </c>
      <c r="I276" s="10" t="s">
        <v>1098</v>
      </c>
      <c r="J276" s="10" t="s">
        <v>1099</v>
      </c>
      <c r="K276" s="10" t="s">
        <v>1102</v>
      </c>
      <c r="L276" s="10"/>
      <c r="M276" s="10" t="str">
        <f aca="false">IF(C276="","SIN ASIGNAR","ASIGNADO")</f>
        <v>ASIGNADO</v>
      </c>
      <c r="N276" s="10" t="s">
        <v>991</v>
      </c>
    </row>
    <row r="277" customFormat="false" ht="15" hidden="false" customHeight="false" outlineLevel="0" collapsed="false">
      <c r="A277" s="10" t="n">
        <v>272</v>
      </c>
      <c r="B277" s="10" t="s">
        <v>25</v>
      </c>
      <c r="C277" s="8" t="s">
        <v>835</v>
      </c>
      <c r="D277" s="10" t="str">
        <f aca="false">IF(C277="","",IFERROR(INDEX(NIVEL!$B:$B,MATCH(C277,NIVEL!$A:$A,0)),"¡Código no existe!"))</f>
        <v>Transición / reducción A.C. SCH-10</v>
      </c>
      <c r="E277" s="10" t="str">
        <f aca="false">IF(C277="","",IFERROR(INDEX(NIVEL!$C:$C,MATCH(C277,NIVEL!$A:$A,0)),""))</f>
        <v>Un.</v>
      </c>
      <c r="F277" s="10" t="s">
        <v>1012</v>
      </c>
      <c r="G277" s="10" t="n">
        <f aca="false">IFERROR(MATCH(F277,LISTAS!$D$2:$D$22,0),99)</f>
        <v>5</v>
      </c>
      <c r="H277" s="13" t="n">
        <v>2</v>
      </c>
      <c r="I277" s="10" t="s">
        <v>1098</v>
      </c>
      <c r="J277" s="10" t="s">
        <v>1099</v>
      </c>
      <c r="K277" s="10" t="s">
        <v>1101</v>
      </c>
      <c r="L277" s="10"/>
      <c r="M277" s="10" t="str">
        <f aca="false">IF(C277="","SIN ASIGNAR","ASIGNADO")</f>
        <v>ASIGNADO</v>
      </c>
      <c r="N277" s="10" t="s">
        <v>991</v>
      </c>
    </row>
    <row r="278" customFormat="false" ht="15" hidden="false" customHeight="false" outlineLevel="0" collapsed="false">
      <c r="A278" s="10" t="n">
        <v>273</v>
      </c>
      <c r="B278" s="10" t="s">
        <v>25</v>
      </c>
      <c r="C278" s="8" t="s">
        <v>835</v>
      </c>
      <c r="D278" s="10" t="str">
        <f aca="false">IF(C278="","",IFERROR(INDEX(NIVEL!$B:$B,MATCH(C278,NIVEL!$A:$A,0)),"¡Código no existe!"))</f>
        <v>Transición / reducción A.C. SCH-10</v>
      </c>
      <c r="E278" s="10" t="str">
        <f aca="false">IF(C278="","",IFERROR(INDEX(NIVEL!$C:$C,MATCH(C278,NIVEL!$A:$A,0)),""))</f>
        <v>Un.</v>
      </c>
      <c r="F278" s="10" t="s">
        <v>1012</v>
      </c>
      <c r="G278" s="10" t="n">
        <f aca="false">IFERROR(MATCH(F278,LISTAS!$D$2:$D$22,0),99)</f>
        <v>5</v>
      </c>
      <c r="H278" s="13" t="n">
        <v>1</v>
      </c>
      <c r="I278" s="10" t="s">
        <v>1098</v>
      </c>
      <c r="J278" s="10" t="s">
        <v>1099</v>
      </c>
      <c r="K278" s="10" t="s">
        <v>1102</v>
      </c>
      <c r="L278" s="10"/>
      <c r="M278" s="10" t="str">
        <f aca="false">IF(C278="","SIN ASIGNAR","ASIGNADO")</f>
        <v>ASIGNADO</v>
      </c>
      <c r="N278" s="10" t="s">
        <v>991</v>
      </c>
    </row>
    <row r="279" customFormat="false" ht="15" hidden="false" customHeight="false" outlineLevel="0" collapsed="false">
      <c r="A279" s="10" t="n">
        <v>274</v>
      </c>
      <c r="B279" s="10" t="s">
        <v>25</v>
      </c>
      <c r="C279" s="8" t="s">
        <v>835</v>
      </c>
      <c r="D279" s="10" t="str">
        <f aca="false">IF(C279="","",IFERROR(INDEX(NIVEL!$B:$B,MATCH(C279,NIVEL!$A:$A,0)),"¡Código no existe!"))</f>
        <v>Transición / reducción A.C. SCH-10</v>
      </c>
      <c r="E279" s="10" t="str">
        <f aca="false">IF(C279="","",IFERROR(INDEX(NIVEL!$C:$C,MATCH(C279,NIVEL!$A:$A,0)),""))</f>
        <v>Un.</v>
      </c>
      <c r="F279" s="10" t="s">
        <v>1013</v>
      </c>
      <c r="G279" s="10" t="n">
        <f aca="false">IFERROR(MATCH(F279,LISTAS!$D$2:$D$22,0),99)</f>
        <v>6</v>
      </c>
      <c r="H279" s="13" t="n">
        <v>2</v>
      </c>
      <c r="I279" s="10" t="s">
        <v>1098</v>
      </c>
      <c r="J279" s="10" t="s">
        <v>1099</v>
      </c>
      <c r="K279" s="10" t="s">
        <v>1101</v>
      </c>
      <c r="L279" s="10"/>
      <c r="M279" s="10" t="str">
        <f aca="false">IF(C279="","SIN ASIGNAR","ASIGNADO")</f>
        <v>ASIGNADO</v>
      </c>
      <c r="N279" s="10" t="s">
        <v>991</v>
      </c>
    </row>
    <row r="280" customFormat="false" ht="15" hidden="false" customHeight="false" outlineLevel="0" collapsed="false">
      <c r="A280" s="10" t="n">
        <v>275</v>
      </c>
      <c r="B280" s="10" t="s">
        <v>25</v>
      </c>
      <c r="C280" s="8" t="s">
        <v>835</v>
      </c>
      <c r="D280" s="10" t="str">
        <f aca="false">IF(C280="","",IFERROR(INDEX(NIVEL!$B:$B,MATCH(C280,NIVEL!$A:$A,0)),"¡Código no existe!"))</f>
        <v>Transición / reducción A.C. SCH-10</v>
      </c>
      <c r="E280" s="10" t="str">
        <f aca="false">IF(C280="","",IFERROR(INDEX(NIVEL!$C:$C,MATCH(C280,NIVEL!$A:$A,0)),""))</f>
        <v>Un.</v>
      </c>
      <c r="F280" s="10" t="s">
        <v>1013</v>
      </c>
      <c r="G280" s="10" t="n">
        <f aca="false">IFERROR(MATCH(F280,LISTAS!$D$2:$D$22,0),99)</f>
        <v>6</v>
      </c>
      <c r="H280" s="13" t="n">
        <v>1</v>
      </c>
      <c r="I280" s="10" t="s">
        <v>1098</v>
      </c>
      <c r="J280" s="10" t="s">
        <v>1099</v>
      </c>
      <c r="K280" s="10" t="s">
        <v>1102</v>
      </c>
      <c r="L280" s="10"/>
      <c r="M280" s="10" t="str">
        <f aca="false">IF(C280="","SIN ASIGNAR","ASIGNADO")</f>
        <v>ASIGNADO</v>
      </c>
      <c r="N280" s="10" t="s">
        <v>991</v>
      </c>
    </row>
    <row r="281" customFormat="false" ht="15" hidden="false" customHeight="false" outlineLevel="0" collapsed="false">
      <c r="A281" s="10" t="n">
        <v>276</v>
      </c>
      <c r="B281" s="10" t="s">
        <v>25</v>
      </c>
      <c r="C281" s="8" t="s">
        <v>835</v>
      </c>
      <c r="D281" s="10" t="str">
        <f aca="false">IF(C281="","",IFERROR(INDEX(NIVEL!$B:$B,MATCH(C281,NIVEL!$A:$A,0)),"¡Código no existe!"))</f>
        <v>Transición / reducción A.C. SCH-10</v>
      </c>
      <c r="E281" s="10" t="str">
        <f aca="false">IF(C281="","",IFERROR(INDEX(NIVEL!$C:$C,MATCH(C281,NIVEL!$A:$A,0)),""))</f>
        <v>Un.</v>
      </c>
      <c r="F281" s="10" t="s">
        <v>1013</v>
      </c>
      <c r="G281" s="10" t="n">
        <f aca="false">IFERROR(MATCH(F281,LISTAS!$D$2:$D$22,0),99)</f>
        <v>6</v>
      </c>
      <c r="H281" s="13" t="n">
        <v>1</v>
      </c>
      <c r="I281" s="10" t="s">
        <v>1098</v>
      </c>
      <c r="J281" s="10" t="s">
        <v>1099</v>
      </c>
      <c r="K281" s="10" t="s">
        <v>1101</v>
      </c>
      <c r="L281" s="10"/>
      <c r="M281" s="10" t="str">
        <f aca="false">IF(C281="","SIN ASIGNAR","ASIGNADO")</f>
        <v>ASIGNADO</v>
      </c>
      <c r="N281" s="10" t="s">
        <v>991</v>
      </c>
    </row>
    <row r="282" customFormat="false" ht="15" hidden="false" customHeight="false" outlineLevel="0" collapsed="false">
      <c r="A282" s="10" t="n">
        <v>277</v>
      </c>
      <c r="B282" s="10" t="s">
        <v>25</v>
      </c>
      <c r="C282" s="8" t="s">
        <v>835</v>
      </c>
      <c r="D282" s="10" t="str">
        <f aca="false">IF(C282="","",IFERROR(INDEX(NIVEL!$B:$B,MATCH(C282,NIVEL!$A:$A,0)),"¡Código no existe!"))</f>
        <v>Transición / reducción A.C. SCH-10</v>
      </c>
      <c r="E282" s="10" t="str">
        <f aca="false">IF(C282="","",IFERROR(INDEX(NIVEL!$C:$C,MATCH(C282,NIVEL!$A:$A,0)),""))</f>
        <v>Un.</v>
      </c>
      <c r="F282" s="10" t="s">
        <v>1014</v>
      </c>
      <c r="G282" s="10" t="n">
        <f aca="false">IFERROR(MATCH(F282,LISTAS!$D$2:$D$22,0),99)</f>
        <v>7</v>
      </c>
      <c r="H282" s="13" t="n">
        <v>1</v>
      </c>
      <c r="I282" s="10" t="s">
        <v>1098</v>
      </c>
      <c r="J282" s="10" t="s">
        <v>1099</v>
      </c>
      <c r="K282" s="10" t="s">
        <v>1102</v>
      </c>
      <c r="L282" s="10"/>
      <c r="M282" s="10" t="str">
        <f aca="false">IF(C282="","SIN ASIGNAR","ASIGNADO")</f>
        <v>ASIGNADO</v>
      </c>
      <c r="N282" s="10" t="s">
        <v>991</v>
      </c>
    </row>
    <row r="283" customFormat="false" ht="15" hidden="false" customHeight="false" outlineLevel="0" collapsed="false">
      <c r="A283" s="10" t="n">
        <v>278</v>
      </c>
      <c r="B283" s="10" t="s">
        <v>25</v>
      </c>
      <c r="C283" s="8" t="s">
        <v>835</v>
      </c>
      <c r="D283" s="10" t="str">
        <f aca="false">IF(C283="","",IFERROR(INDEX(NIVEL!$B:$B,MATCH(C283,NIVEL!$A:$A,0)),"¡Código no existe!"))</f>
        <v>Transición / reducción A.C. SCH-10</v>
      </c>
      <c r="E283" s="10" t="str">
        <f aca="false">IF(C283="","",IFERROR(INDEX(NIVEL!$C:$C,MATCH(C283,NIVEL!$A:$A,0)),""))</f>
        <v>Un.</v>
      </c>
      <c r="F283" s="10" t="s">
        <v>1014</v>
      </c>
      <c r="G283" s="10" t="n">
        <f aca="false">IFERROR(MATCH(F283,LISTAS!$D$2:$D$22,0),99)</f>
        <v>7</v>
      </c>
      <c r="H283" s="13" t="n">
        <v>1</v>
      </c>
      <c r="I283" s="10" t="s">
        <v>1098</v>
      </c>
      <c r="J283" s="10" t="s">
        <v>1099</v>
      </c>
      <c r="K283" s="10" t="s">
        <v>1103</v>
      </c>
      <c r="L283" s="10"/>
      <c r="M283" s="10" t="str">
        <f aca="false">IF(C283="","SIN ASIGNAR","ASIGNADO")</f>
        <v>ASIGNADO</v>
      </c>
      <c r="N283" s="10" t="s">
        <v>991</v>
      </c>
    </row>
    <row r="284" customFormat="false" ht="15" hidden="false" customHeight="false" outlineLevel="0" collapsed="false">
      <c r="A284" s="10" t="n">
        <v>279</v>
      </c>
      <c r="B284" s="10" t="s">
        <v>25</v>
      </c>
      <c r="C284" s="8" t="s">
        <v>835</v>
      </c>
      <c r="D284" s="10" t="str">
        <f aca="false">IF(C284="","",IFERROR(INDEX(NIVEL!$B:$B,MATCH(C284,NIVEL!$A:$A,0)),"¡Código no existe!"))</f>
        <v>Transición / reducción A.C. SCH-10</v>
      </c>
      <c r="E284" s="10" t="str">
        <f aca="false">IF(C284="","",IFERROR(INDEX(NIVEL!$C:$C,MATCH(C284,NIVEL!$A:$A,0)),""))</f>
        <v>Un.</v>
      </c>
      <c r="F284" s="10" t="s">
        <v>1014</v>
      </c>
      <c r="G284" s="10" t="n">
        <f aca="false">IFERROR(MATCH(F284,LISTAS!$D$2:$D$22,0),99)</f>
        <v>7</v>
      </c>
      <c r="H284" s="13" t="n">
        <v>2</v>
      </c>
      <c r="I284" s="10" t="s">
        <v>1098</v>
      </c>
      <c r="J284" s="10" t="s">
        <v>1099</v>
      </c>
      <c r="K284" s="10" t="s">
        <v>1091</v>
      </c>
      <c r="L284" s="10"/>
      <c r="M284" s="10" t="str">
        <f aca="false">IF(C284="","SIN ASIGNAR","ASIGNADO")</f>
        <v>ASIGNADO</v>
      </c>
      <c r="N284" s="10" t="s">
        <v>991</v>
      </c>
    </row>
    <row r="285" customFormat="false" ht="15" hidden="false" customHeight="false" outlineLevel="0" collapsed="false">
      <c r="A285" s="10" t="n">
        <v>280</v>
      </c>
      <c r="B285" s="10" t="s">
        <v>25</v>
      </c>
      <c r="C285" s="8" t="s">
        <v>835</v>
      </c>
      <c r="D285" s="10" t="str">
        <f aca="false">IF(C285="","",IFERROR(INDEX(NIVEL!$B:$B,MATCH(C285,NIVEL!$A:$A,0)),"¡Código no existe!"))</f>
        <v>Transición / reducción A.C. SCH-10</v>
      </c>
      <c r="E285" s="10" t="str">
        <f aca="false">IF(C285="","",IFERROR(INDEX(NIVEL!$C:$C,MATCH(C285,NIVEL!$A:$A,0)),""))</f>
        <v>Un.</v>
      </c>
      <c r="F285" s="10" t="s">
        <v>1017</v>
      </c>
      <c r="G285" s="10" t="n">
        <f aca="false">IFERROR(MATCH(F285,LISTAS!$D$2:$D$22,0),99)</f>
        <v>8</v>
      </c>
      <c r="H285" s="13" t="n">
        <v>3</v>
      </c>
      <c r="I285" s="10" t="s">
        <v>1098</v>
      </c>
      <c r="J285" s="10" t="s">
        <v>1099</v>
      </c>
      <c r="K285" s="10" t="s">
        <v>1104</v>
      </c>
      <c r="L285" s="10"/>
      <c r="M285" s="10" t="str">
        <f aca="false">IF(C285="","SIN ASIGNAR","ASIGNADO")</f>
        <v>ASIGNADO</v>
      </c>
      <c r="N285" s="10" t="s">
        <v>991</v>
      </c>
    </row>
    <row r="286" customFormat="false" ht="15" hidden="false" customHeight="false" outlineLevel="0" collapsed="false">
      <c r="A286" s="10" t="n">
        <v>281</v>
      </c>
      <c r="B286" s="10" t="s">
        <v>25</v>
      </c>
      <c r="C286" s="8" t="s">
        <v>835</v>
      </c>
      <c r="D286" s="10" t="str">
        <f aca="false">IF(C286="","",IFERROR(INDEX(NIVEL!$B:$B,MATCH(C286,NIVEL!$A:$A,0)),"¡Código no existe!"))</f>
        <v>Transición / reducción A.C. SCH-10</v>
      </c>
      <c r="E286" s="10" t="str">
        <f aca="false">IF(C286="","",IFERROR(INDEX(NIVEL!$C:$C,MATCH(C286,NIVEL!$A:$A,0)),""))</f>
        <v>Un.</v>
      </c>
      <c r="F286" s="10" t="s">
        <v>1017</v>
      </c>
      <c r="G286" s="10" t="n">
        <f aca="false">IFERROR(MATCH(F286,LISTAS!$D$2:$D$22,0),99)</f>
        <v>8</v>
      </c>
      <c r="H286" s="13" t="n">
        <v>2</v>
      </c>
      <c r="I286" s="10" t="s">
        <v>1098</v>
      </c>
      <c r="J286" s="10" t="s">
        <v>1099</v>
      </c>
      <c r="K286" s="10" t="s">
        <v>1103</v>
      </c>
      <c r="L286" s="10"/>
      <c r="M286" s="10" t="str">
        <f aca="false">IF(C286="","SIN ASIGNAR","ASIGNADO")</f>
        <v>ASIGNADO</v>
      </c>
      <c r="N286" s="10" t="s">
        <v>991</v>
      </c>
    </row>
    <row r="287" customFormat="false" ht="15" hidden="false" customHeight="false" outlineLevel="0" collapsed="false">
      <c r="A287" s="10" t="n">
        <v>282</v>
      </c>
      <c r="B287" s="10" t="s">
        <v>25</v>
      </c>
      <c r="C287" s="8" t="s">
        <v>835</v>
      </c>
      <c r="D287" s="10" t="str">
        <f aca="false">IF(C287="","",IFERROR(INDEX(NIVEL!$B:$B,MATCH(C287,NIVEL!$A:$A,0)),"¡Código no existe!"))</f>
        <v>Transición / reducción A.C. SCH-10</v>
      </c>
      <c r="E287" s="10" t="str">
        <f aca="false">IF(C287="","",IFERROR(INDEX(NIVEL!$C:$C,MATCH(C287,NIVEL!$A:$A,0)),""))</f>
        <v>Un.</v>
      </c>
      <c r="F287" s="10" t="s">
        <v>1018</v>
      </c>
      <c r="G287" s="10" t="n">
        <f aca="false">IFERROR(MATCH(F287,LISTAS!$D$2:$D$22,0),99)</f>
        <v>19</v>
      </c>
      <c r="H287" s="13" t="n">
        <v>2</v>
      </c>
      <c r="I287" s="10" t="s">
        <v>1098</v>
      </c>
      <c r="J287" s="10" t="s">
        <v>1099</v>
      </c>
      <c r="K287" s="10" t="s">
        <v>1093</v>
      </c>
      <c r="L287" s="10"/>
      <c r="M287" s="10" t="str">
        <f aca="false">IF(C287="","SIN ASIGNAR","ASIGNADO")</f>
        <v>ASIGNADO</v>
      </c>
      <c r="N287" s="10" t="s">
        <v>991</v>
      </c>
    </row>
    <row r="288" customFormat="false" ht="15" hidden="false" customHeight="false" outlineLevel="0" collapsed="false">
      <c r="A288" s="10" t="n">
        <v>283</v>
      </c>
      <c r="B288" s="10" t="s">
        <v>25</v>
      </c>
      <c r="C288" s="8" t="s">
        <v>831</v>
      </c>
      <c r="D288" s="10" t="str">
        <f aca="false">IF(C288="","",IFERROR(INDEX(NIVEL!$B:$B,MATCH(C288,NIVEL!$A:$A,0)),"¡Código no existe!"))</f>
        <v>Unión A.C. SCH-10 D=6"</v>
      </c>
      <c r="E288" s="10" t="str">
        <f aca="false">IF(C288="","",IFERROR(INDEX(NIVEL!$C:$C,MATCH(C288,NIVEL!$A:$A,0)),""))</f>
        <v>Un.</v>
      </c>
      <c r="F288" s="10" t="s">
        <v>987</v>
      </c>
      <c r="G288" s="10" t="n">
        <f aca="false">IFERROR(MATCH(F288,LISTAS!$D$2:$D$22,0),99)</f>
        <v>1</v>
      </c>
      <c r="H288" s="13" t="n">
        <v>2</v>
      </c>
      <c r="I288" s="10" t="s">
        <v>1105</v>
      </c>
      <c r="J288" s="10" t="s">
        <v>1106</v>
      </c>
      <c r="K288" s="10" t="s">
        <v>1001</v>
      </c>
      <c r="L288" s="10"/>
      <c r="M288" s="10" t="str">
        <f aca="false">IF(C288="","SIN ASIGNAR","ASIGNADO")</f>
        <v>ASIGNADO</v>
      </c>
      <c r="N288" s="10" t="s">
        <v>991</v>
      </c>
    </row>
    <row r="289" customFormat="false" ht="15" hidden="false" customHeight="false" outlineLevel="0" collapsed="false">
      <c r="A289" s="10" t="n">
        <v>284</v>
      </c>
      <c r="B289" s="10" t="s">
        <v>25</v>
      </c>
      <c r="C289" s="8" t="s">
        <v>831</v>
      </c>
      <c r="D289" s="10" t="str">
        <f aca="false">IF(C289="","",IFERROR(INDEX(NIVEL!$B:$B,MATCH(C289,NIVEL!$A:$A,0)),"¡Código no existe!"))</f>
        <v>Unión A.C. SCH-10 D=6"</v>
      </c>
      <c r="E289" s="10" t="str">
        <f aca="false">IF(C289="","",IFERROR(INDEX(NIVEL!$C:$C,MATCH(C289,NIVEL!$A:$A,0)),""))</f>
        <v>Un.</v>
      </c>
      <c r="F289" s="10" t="s">
        <v>1008</v>
      </c>
      <c r="G289" s="10" t="n">
        <f aca="false">IFERROR(MATCH(F289,LISTAS!$D$2:$D$22,0),99)</f>
        <v>3</v>
      </c>
      <c r="H289" s="13" t="n">
        <v>1</v>
      </c>
      <c r="I289" s="10" t="s">
        <v>1105</v>
      </c>
      <c r="J289" s="10" t="s">
        <v>1106</v>
      </c>
      <c r="K289" s="10" t="s">
        <v>1001</v>
      </c>
      <c r="L289" s="10"/>
      <c r="M289" s="10" t="str">
        <f aca="false">IF(C289="","SIN ASIGNAR","ASIGNADO")</f>
        <v>ASIGNADO</v>
      </c>
      <c r="N289" s="10" t="s">
        <v>991</v>
      </c>
    </row>
    <row r="290" customFormat="false" ht="15" hidden="false" customHeight="false" outlineLevel="0" collapsed="false">
      <c r="A290" s="10" t="n">
        <v>285</v>
      </c>
      <c r="B290" s="10" t="s">
        <v>25</v>
      </c>
      <c r="C290" s="8" t="s">
        <v>831</v>
      </c>
      <c r="D290" s="10" t="str">
        <f aca="false">IF(C290="","",IFERROR(INDEX(NIVEL!$B:$B,MATCH(C290,NIVEL!$A:$A,0)),"¡Código no existe!"))</f>
        <v>Unión A.C. SCH-10 D=6"</v>
      </c>
      <c r="E290" s="10" t="str">
        <f aca="false">IF(C290="","",IFERROR(INDEX(NIVEL!$C:$C,MATCH(C290,NIVEL!$A:$A,0)),""))</f>
        <v>Un.</v>
      </c>
      <c r="F290" s="10" t="s">
        <v>1011</v>
      </c>
      <c r="G290" s="10" t="n">
        <f aca="false">IFERROR(MATCH(F290,LISTAS!$D$2:$D$22,0),99)</f>
        <v>4</v>
      </c>
      <c r="H290" s="13" t="n">
        <v>1</v>
      </c>
      <c r="I290" s="10" t="s">
        <v>1105</v>
      </c>
      <c r="J290" s="10" t="s">
        <v>1106</v>
      </c>
      <c r="K290" s="10" t="s">
        <v>1001</v>
      </c>
      <c r="L290" s="10"/>
      <c r="M290" s="10" t="str">
        <f aca="false">IF(C290="","SIN ASIGNAR","ASIGNADO")</f>
        <v>ASIGNADO</v>
      </c>
      <c r="N290" s="10" t="s">
        <v>991</v>
      </c>
    </row>
    <row r="291" customFormat="false" ht="15" hidden="false" customHeight="false" outlineLevel="0" collapsed="false">
      <c r="A291" s="10" t="n">
        <v>286</v>
      </c>
      <c r="B291" s="10" t="s">
        <v>25</v>
      </c>
      <c r="C291" s="8" t="s">
        <v>831</v>
      </c>
      <c r="D291" s="10" t="str">
        <f aca="false">IF(C291="","",IFERROR(INDEX(NIVEL!$B:$B,MATCH(C291,NIVEL!$A:$A,0)),"¡Código no existe!"))</f>
        <v>Unión A.C. SCH-10 D=6"</v>
      </c>
      <c r="E291" s="10" t="str">
        <f aca="false">IF(C291="","",IFERROR(INDEX(NIVEL!$C:$C,MATCH(C291,NIVEL!$A:$A,0)),""))</f>
        <v>Un.</v>
      </c>
      <c r="F291" s="10" t="s">
        <v>1012</v>
      </c>
      <c r="G291" s="10" t="n">
        <f aca="false">IFERROR(MATCH(F291,LISTAS!$D$2:$D$22,0),99)</f>
        <v>5</v>
      </c>
      <c r="H291" s="13" t="n">
        <v>1</v>
      </c>
      <c r="I291" s="10" t="s">
        <v>1105</v>
      </c>
      <c r="J291" s="10" t="s">
        <v>1106</v>
      </c>
      <c r="K291" s="10" t="s">
        <v>1001</v>
      </c>
      <c r="L291" s="10"/>
      <c r="M291" s="10" t="str">
        <f aca="false">IF(C291="","SIN ASIGNAR","ASIGNADO")</f>
        <v>ASIGNADO</v>
      </c>
      <c r="N291" s="10" t="s">
        <v>991</v>
      </c>
    </row>
    <row r="292" customFormat="false" ht="15" hidden="false" customHeight="false" outlineLevel="0" collapsed="false">
      <c r="A292" s="10" t="n">
        <v>287</v>
      </c>
      <c r="B292" s="10" t="s">
        <v>25</v>
      </c>
      <c r="C292" s="8" t="s">
        <v>831</v>
      </c>
      <c r="D292" s="10" t="str">
        <f aca="false">IF(C292="","",IFERROR(INDEX(NIVEL!$B:$B,MATCH(C292,NIVEL!$A:$A,0)),"¡Código no existe!"))</f>
        <v>Unión A.C. SCH-10 D=6"</v>
      </c>
      <c r="E292" s="10" t="str">
        <f aca="false">IF(C292="","",IFERROR(INDEX(NIVEL!$C:$C,MATCH(C292,NIVEL!$A:$A,0)),""))</f>
        <v>Un.</v>
      </c>
      <c r="F292" s="10" t="s">
        <v>1013</v>
      </c>
      <c r="G292" s="10" t="n">
        <f aca="false">IFERROR(MATCH(F292,LISTAS!$D$2:$D$22,0),99)</f>
        <v>6</v>
      </c>
      <c r="H292" s="13" t="n">
        <v>2</v>
      </c>
      <c r="I292" s="10" t="s">
        <v>1105</v>
      </c>
      <c r="J292" s="10" t="s">
        <v>1106</v>
      </c>
      <c r="K292" s="10" t="s">
        <v>1001</v>
      </c>
      <c r="L292" s="10"/>
      <c r="M292" s="10" t="str">
        <f aca="false">IF(C292="","SIN ASIGNAR","ASIGNADO")</f>
        <v>ASIGNADO</v>
      </c>
      <c r="N292" s="10" t="s">
        <v>991</v>
      </c>
    </row>
    <row r="293" customFormat="false" ht="15" hidden="false" customHeight="false" outlineLevel="0" collapsed="false">
      <c r="A293" s="10" t="n">
        <v>288</v>
      </c>
      <c r="B293" s="10" t="s">
        <v>25</v>
      </c>
      <c r="C293" s="8" t="s">
        <v>831</v>
      </c>
      <c r="D293" s="10" t="str">
        <f aca="false">IF(C293="","",IFERROR(INDEX(NIVEL!$B:$B,MATCH(C293,NIVEL!$A:$A,0)),"¡Código no existe!"))</f>
        <v>Unión A.C. SCH-10 D=6"</v>
      </c>
      <c r="E293" s="10" t="str">
        <f aca="false">IF(C293="","",IFERROR(INDEX(NIVEL!$C:$C,MATCH(C293,NIVEL!$A:$A,0)),""))</f>
        <v>Un.</v>
      </c>
      <c r="F293" s="10" t="s">
        <v>1014</v>
      </c>
      <c r="G293" s="10" t="n">
        <f aca="false">IFERROR(MATCH(F293,LISTAS!$D$2:$D$22,0),99)</f>
        <v>7</v>
      </c>
      <c r="H293" s="13" t="n">
        <v>1</v>
      </c>
      <c r="I293" s="10" t="s">
        <v>1105</v>
      </c>
      <c r="J293" s="10" t="s">
        <v>1106</v>
      </c>
      <c r="K293" s="10" t="s">
        <v>1001</v>
      </c>
      <c r="L293" s="10"/>
      <c r="M293" s="10" t="str">
        <f aca="false">IF(C293="","SIN ASIGNAR","ASIGNADO")</f>
        <v>ASIGNADO</v>
      </c>
      <c r="N293" s="10" t="s">
        <v>991</v>
      </c>
    </row>
    <row r="294" customFormat="false" ht="15" hidden="false" customHeight="false" outlineLevel="0" collapsed="false">
      <c r="A294" s="10" t="n">
        <v>289</v>
      </c>
      <c r="B294" s="10" t="s">
        <v>25</v>
      </c>
      <c r="C294" s="8" t="s">
        <v>831</v>
      </c>
      <c r="D294" s="10" t="str">
        <f aca="false">IF(C294="","",IFERROR(INDEX(NIVEL!$B:$B,MATCH(C294,NIVEL!$A:$A,0)),"¡Código no existe!"))</f>
        <v>Unión A.C. SCH-10 D=6"</v>
      </c>
      <c r="E294" s="10" t="str">
        <f aca="false">IF(C294="","",IFERROR(INDEX(NIVEL!$C:$C,MATCH(C294,NIVEL!$A:$A,0)),""))</f>
        <v>Un.</v>
      </c>
      <c r="F294" s="10" t="s">
        <v>1017</v>
      </c>
      <c r="G294" s="10" t="n">
        <f aca="false">IFERROR(MATCH(F294,LISTAS!$D$2:$D$22,0),99)</f>
        <v>8</v>
      </c>
      <c r="H294" s="13" t="n">
        <v>2</v>
      </c>
      <c r="I294" s="10" t="s">
        <v>1105</v>
      </c>
      <c r="J294" s="10" t="s">
        <v>1106</v>
      </c>
      <c r="K294" s="10" t="s">
        <v>1001</v>
      </c>
      <c r="L294" s="10"/>
      <c r="M294" s="10" t="str">
        <f aca="false">IF(C294="","SIN ASIGNAR","ASIGNADO")</f>
        <v>ASIGNADO</v>
      </c>
      <c r="N294" s="10" t="s">
        <v>991</v>
      </c>
    </row>
    <row r="295" customFormat="false" ht="15" hidden="false" customHeight="false" outlineLevel="0" collapsed="false">
      <c r="A295" s="10" t="n">
        <v>290</v>
      </c>
      <c r="B295" s="10" t="s">
        <v>25</v>
      </c>
      <c r="C295" s="8" t="s">
        <v>831</v>
      </c>
      <c r="D295" s="10" t="str">
        <f aca="false">IF(C295="","",IFERROR(INDEX(NIVEL!$B:$B,MATCH(C295,NIVEL!$A:$A,0)),"¡Código no existe!"))</f>
        <v>Unión A.C. SCH-10 D=6"</v>
      </c>
      <c r="E295" s="10" t="str">
        <f aca="false">IF(C295="","",IFERROR(INDEX(NIVEL!$C:$C,MATCH(C295,NIVEL!$A:$A,0)),""))</f>
        <v>Un.</v>
      </c>
      <c r="F295" s="10" t="s">
        <v>1049</v>
      </c>
      <c r="G295" s="10" t="n">
        <f aca="false">IFERROR(MATCH(F295,LISTAS!$D$2:$D$22,0),99)</f>
        <v>9</v>
      </c>
      <c r="H295" s="13" t="n">
        <v>2</v>
      </c>
      <c r="I295" s="10" t="s">
        <v>1105</v>
      </c>
      <c r="J295" s="10" t="s">
        <v>1106</v>
      </c>
      <c r="K295" s="10" t="s">
        <v>1001</v>
      </c>
      <c r="L295" s="10"/>
      <c r="M295" s="10" t="str">
        <f aca="false">IF(C295="","SIN ASIGNAR","ASIGNADO")</f>
        <v>ASIGNADO</v>
      </c>
      <c r="N295" s="10" t="s">
        <v>991</v>
      </c>
    </row>
    <row r="296" customFormat="false" ht="15" hidden="false" customHeight="false" outlineLevel="0" collapsed="false">
      <c r="A296" s="10" t="n">
        <v>291</v>
      </c>
      <c r="B296" s="10" t="s">
        <v>25</v>
      </c>
      <c r="C296" s="8" t="s">
        <v>831</v>
      </c>
      <c r="D296" s="10" t="str">
        <f aca="false">IF(C296="","",IFERROR(INDEX(NIVEL!$B:$B,MATCH(C296,NIVEL!$A:$A,0)),"¡Código no existe!"))</f>
        <v>Unión A.C. SCH-10 D=6"</v>
      </c>
      <c r="E296" s="10" t="str">
        <f aca="false">IF(C296="","",IFERROR(INDEX(NIVEL!$C:$C,MATCH(C296,NIVEL!$A:$A,0)),""))</f>
        <v>Un.</v>
      </c>
      <c r="F296" s="10" t="s">
        <v>1050</v>
      </c>
      <c r="G296" s="10" t="n">
        <f aca="false">IFERROR(MATCH(F296,LISTAS!$D$2:$D$22,0),99)</f>
        <v>10</v>
      </c>
      <c r="H296" s="13" t="n">
        <v>2</v>
      </c>
      <c r="I296" s="10" t="s">
        <v>1105</v>
      </c>
      <c r="J296" s="10" t="s">
        <v>1106</v>
      </c>
      <c r="K296" s="10" t="s">
        <v>1001</v>
      </c>
      <c r="L296" s="10"/>
      <c r="M296" s="10" t="str">
        <f aca="false">IF(C296="","SIN ASIGNAR","ASIGNADO")</f>
        <v>ASIGNADO</v>
      </c>
      <c r="N296" s="10" t="s">
        <v>991</v>
      </c>
    </row>
    <row r="297" customFormat="false" ht="15" hidden="false" customHeight="false" outlineLevel="0" collapsed="false">
      <c r="A297" s="10" t="n">
        <v>292</v>
      </c>
      <c r="B297" s="10" t="s">
        <v>25</v>
      </c>
      <c r="C297" s="8" t="s">
        <v>831</v>
      </c>
      <c r="D297" s="10" t="str">
        <f aca="false">IF(C297="","",IFERROR(INDEX(NIVEL!$B:$B,MATCH(C297,NIVEL!$A:$A,0)),"¡Código no existe!"))</f>
        <v>Unión A.C. SCH-10 D=6"</v>
      </c>
      <c r="E297" s="10" t="str">
        <f aca="false">IF(C297="","",IFERROR(INDEX(NIVEL!$C:$C,MATCH(C297,NIVEL!$A:$A,0)),""))</f>
        <v>Un.</v>
      </c>
      <c r="F297" s="10" t="s">
        <v>1051</v>
      </c>
      <c r="G297" s="10" t="n">
        <f aca="false">IFERROR(MATCH(F297,LISTAS!$D$2:$D$22,0),99)</f>
        <v>11</v>
      </c>
      <c r="H297" s="13" t="n">
        <v>2</v>
      </c>
      <c r="I297" s="10" t="s">
        <v>1105</v>
      </c>
      <c r="J297" s="10" t="s">
        <v>1106</v>
      </c>
      <c r="K297" s="10" t="s">
        <v>1001</v>
      </c>
      <c r="L297" s="10"/>
      <c r="M297" s="10" t="str">
        <f aca="false">IF(C297="","SIN ASIGNAR","ASIGNADO")</f>
        <v>ASIGNADO</v>
      </c>
      <c r="N297" s="10" t="s">
        <v>991</v>
      </c>
    </row>
    <row r="298" customFormat="false" ht="15" hidden="false" customHeight="false" outlineLevel="0" collapsed="false">
      <c r="A298" s="10" t="n">
        <v>293</v>
      </c>
      <c r="B298" s="10" t="s">
        <v>25</v>
      </c>
      <c r="C298" s="8" t="s">
        <v>831</v>
      </c>
      <c r="D298" s="10" t="str">
        <f aca="false">IF(C298="","",IFERROR(INDEX(NIVEL!$B:$B,MATCH(C298,NIVEL!$A:$A,0)),"¡Código no existe!"))</f>
        <v>Unión A.C. SCH-10 D=6"</v>
      </c>
      <c r="E298" s="10" t="str">
        <f aca="false">IF(C298="","",IFERROR(INDEX(NIVEL!$C:$C,MATCH(C298,NIVEL!$A:$A,0)),""))</f>
        <v>Un.</v>
      </c>
      <c r="F298" s="10" t="s">
        <v>1052</v>
      </c>
      <c r="G298" s="10" t="n">
        <f aca="false">IFERROR(MATCH(F298,LISTAS!$D$2:$D$22,0),99)</f>
        <v>12</v>
      </c>
      <c r="H298" s="13" t="n">
        <v>2</v>
      </c>
      <c r="I298" s="10" t="s">
        <v>1105</v>
      </c>
      <c r="J298" s="10" t="s">
        <v>1106</v>
      </c>
      <c r="K298" s="10" t="s">
        <v>1001</v>
      </c>
      <c r="L298" s="10"/>
      <c r="M298" s="10" t="str">
        <f aca="false">IF(C298="","SIN ASIGNAR","ASIGNADO")</f>
        <v>ASIGNADO</v>
      </c>
      <c r="N298" s="10" t="s">
        <v>991</v>
      </c>
    </row>
    <row r="299" customFormat="false" ht="15" hidden="false" customHeight="false" outlineLevel="0" collapsed="false">
      <c r="A299" s="10" t="n">
        <v>294</v>
      </c>
      <c r="B299" s="10" t="s">
        <v>25</v>
      </c>
      <c r="C299" s="8" t="s">
        <v>831</v>
      </c>
      <c r="D299" s="10" t="str">
        <f aca="false">IF(C299="","",IFERROR(INDEX(NIVEL!$B:$B,MATCH(C299,NIVEL!$A:$A,0)),"¡Código no existe!"))</f>
        <v>Unión A.C. SCH-10 D=6"</v>
      </c>
      <c r="E299" s="10" t="str">
        <f aca="false">IF(C299="","",IFERROR(INDEX(NIVEL!$C:$C,MATCH(C299,NIVEL!$A:$A,0)),""))</f>
        <v>Un.</v>
      </c>
      <c r="F299" s="10" t="s">
        <v>1053</v>
      </c>
      <c r="G299" s="10" t="n">
        <f aca="false">IFERROR(MATCH(F299,LISTAS!$D$2:$D$22,0),99)</f>
        <v>13</v>
      </c>
      <c r="H299" s="13" t="n">
        <v>2</v>
      </c>
      <c r="I299" s="10" t="s">
        <v>1105</v>
      </c>
      <c r="J299" s="10" t="s">
        <v>1106</v>
      </c>
      <c r="K299" s="10" t="s">
        <v>1001</v>
      </c>
      <c r="L299" s="10"/>
      <c r="M299" s="10" t="str">
        <f aca="false">IF(C299="","SIN ASIGNAR","ASIGNADO")</f>
        <v>ASIGNADO</v>
      </c>
      <c r="N299" s="10" t="s">
        <v>991</v>
      </c>
    </row>
    <row r="300" customFormat="false" ht="15" hidden="false" customHeight="false" outlineLevel="0" collapsed="false">
      <c r="A300" s="10" t="n">
        <v>295</v>
      </c>
      <c r="B300" s="10" t="s">
        <v>25</v>
      </c>
      <c r="C300" s="8" t="s">
        <v>831</v>
      </c>
      <c r="D300" s="10" t="str">
        <f aca="false">IF(C300="","",IFERROR(INDEX(NIVEL!$B:$B,MATCH(C300,NIVEL!$A:$A,0)),"¡Código no existe!"))</f>
        <v>Unión A.C. SCH-10 D=6"</v>
      </c>
      <c r="E300" s="10" t="str">
        <f aca="false">IF(C300="","",IFERROR(INDEX(NIVEL!$C:$C,MATCH(C300,NIVEL!$A:$A,0)),""))</f>
        <v>Un.</v>
      </c>
      <c r="F300" s="10" t="s">
        <v>1054</v>
      </c>
      <c r="G300" s="10" t="n">
        <f aca="false">IFERROR(MATCH(F300,LISTAS!$D$2:$D$22,0),99)</f>
        <v>14</v>
      </c>
      <c r="H300" s="13" t="n">
        <v>2</v>
      </c>
      <c r="I300" s="10" t="s">
        <v>1105</v>
      </c>
      <c r="J300" s="10" t="s">
        <v>1106</v>
      </c>
      <c r="K300" s="10" t="s">
        <v>1001</v>
      </c>
      <c r="L300" s="10"/>
      <c r="M300" s="10" t="str">
        <f aca="false">IF(C300="","SIN ASIGNAR","ASIGNADO")</f>
        <v>ASIGNADO</v>
      </c>
      <c r="N300" s="10" t="s">
        <v>991</v>
      </c>
    </row>
    <row r="301" customFormat="false" ht="15" hidden="false" customHeight="false" outlineLevel="0" collapsed="false">
      <c r="A301" s="10" t="n">
        <v>296</v>
      </c>
      <c r="B301" s="10" t="s">
        <v>25</v>
      </c>
      <c r="C301" s="8" t="s">
        <v>831</v>
      </c>
      <c r="D301" s="10" t="str">
        <f aca="false">IF(C301="","",IFERROR(INDEX(NIVEL!$B:$B,MATCH(C301,NIVEL!$A:$A,0)),"¡Código no existe!"))</f>
        <v>Unión A.C. SCH-10 D=6"</v>
      </c>
      <c r="E301" s="10" t="str">
        <f aca="false">IF(C301="","",IFERROR(INDEX(NIVEL!$C:$C,MATCH(C301,NIVEL!$A:$A,0)),""))</f>
        <v>Un.</v>
      </c>
      <c r="F301" s="10" t="s">
        <v>1055</v>
      </c>
      <c r="G301" s="10" t="n">
        <f aca="false">IFERROR(MATCH(F301,LISTAS!$D$2:$D$22,0),99)</f>
        <v>15</v>
      </c>
      <c r="H301" s="13" t="n">
        <v>2</v>
      </c>
      <c r="I301" s="10" t="s">
        <v>1105</v>
      </c>
      <c r="J301" s="10" t="s">
        <v>1106</v>
      </c>
      <c r="K301" s="10" t="s">
        <v>1001</v>
      </c>
      <c r="L301" s="10"/>
      <c r="M301" s="10" t="str">
        <f aca="false">IF(C301="","SIN ASIGNAR","ASIGNADO")</f>
        <v>ASIGNADO</v>
      </c>
      <c r="N301" s="10" t="s">
        <v>991</v>
      </c>
    </row>
    <row r="302" customFormat="false" ht="15" hidden="false" customHeight="false" outlineLevel="0" collapsed="false">
      <c r="A302" s="10" t="n">
        <v>297</v>
      </c>
      <c r="B302" s="10" t="s">
        <v>25</v>
      </c>
      <c r="C302" s="8" t="s">
        <v>831</v>
      </c>
      <c r="D302" s="10" t="str">
        <f aca="false">IF(C302="","",IFERROR(INDEX(NIVEL!$B:$B,MATCH(C302,NIVEL!$A:$A,0)),"¡Código no existe!"))</f>
        <v>Unión A.C. SCH-10 D=6"</v>
      </c>
      <c r="E302" s="10" t="str">
        <f aca="false">IF(C302="","",IFERROR(INDEX(NIVEL!$C:$C,MATCH(C302,NIVEL!$A:$A,0)),""))</f>
        <v>Un.</v>
      </c>
      <c r="F302" s="10" t="s">
        <v>1056</v>
      </c>
      <c r="G302" s="10" t="n">
        <f aca="false">IFERROR(MATCH(F302,LISTAS!$D$2:$D$22,0),99)</f>
        <v>16</v>
      </c>
      <c r="H302" s="13" t="n">
        <v>2</v>
      </c>
      <c r="I302" s="10" t="s">
        <v>1105</v>
      </c>
      <c r="J302" s="10" t="s">
        <v>1106</v>
      </c>
      <c r="K302" s="10" t="s">
        <v>1001</v>
      </c>
      <c r="L302" s="10"/>
      <c r="M302" s="10" t="str">
        <f aca="false">IF(C302="","SIN ASIGNAR","ASIGNADO")</f>
        <v>ASIGNADO</v>
      </c>
      <c r="N302" s="10" t="s">
        <v>991</v>
      </c>
    </row>
    <row r="303" customFormat="false" ht="15" hidden="false" customHeight="false" outlineLevel="0" collapsed="false">
      <c r="A303" s="10" t="n">
        <v>298</v>
      </c>
      <c r="B303" s="10" t="s">
        <v>25</v>
      </c>
      <c r="C303" s="8" t="s">
        <v>831</v>
      </c>
      <c r="D303" s="10" t="str">
        <f aca="false">IF(C303="","",IFERROR(INDEX(NIVEL!$B:$B,MATCH(C303,NIVEL!$A:$A,0)),"¡Código no existe!"))</f>
        <v>Unión A.C. SCH-10 D=6"</v>
      </c>
      <c r="E303" s="10" t="str">
        <f aca="false">IF(C303="","",IFERROR(INDEX(NIVEL!$C:$C,MATCH(C303,NIVEL!$A:$A,0)),""))</f>
        <v>Un.</v>
      </c>
      <c r="F303" s="10" t="s">
        <v>1057</v>
      </c>
      <c r="G303" s="10" t="n">
        <f aca="false">IFERROR(MATCH(F303,LISTAS!$D$2:$D$22,0),99)</f>
        <v>17</v>
      </c>
      <c r="H303" s="13" t="n">
        <v>2</v>
      </c>
      <c r="I303" s="10" t="s">
        <v>1105</v>
      </c>
      <c r="J303" s="10" t="s">
        <v>1106</v>
      </c>
      <c r="K303" s="10" t="s">
        <v>1001</v>
      </c>
      <c r="L303" s="10"/>
      <c r="M303" s="10" t="str">
        <f aca="false">IF(C303="","SIN ASIGNAR","ASIGNADO")</f>
        <v>ASIGNADO</v>
      </c>
      <c r="N303" s="10" t="s">
        <v>991</v>
      </c>
    </row>
    <row r="304" customFormat="false" ht="15" hidden="false" customHeight="false" outlineLevel="0" collapsed="false">
      <c r="A304" s="10" t="n">
        <v>299</v>
      </c>
      <c r="B304" s="10" t="s">
        <v>25</v>
      </c>
      <c r="C304" s="8" t="s">
        <v>831</v>
      </c>
      <c r="D304" s="10" t="str">
        <f aca="false">IF(C304="","",IFERROR(INDEX(NIVEL!$B:$B,MATCH(C304,NIVEL!$A:$A,0)),"¡Código no existe!"))</f>
        <v>Unión A.C. SCH-10 D=6"</v>
      </c>
      <c r="E304" s="10" t="str">
        <f aca="false">IF(C304="","",IFERROR(INDEX(NIVEL!$C:$C,MATCH(C304,NIVEL!$A:$A,0)),""))</f>
        <v>Un.</v>
      </c>
      <c r="F304" s="10" t="s">
        <v>1058</v>
      </c>
      <c r="G304" s="10" t="n">
        <f aca="false">IFERROR(MATCH(F304,LISTAS!$D$2:$D$22,0),99)</f>
        <v>18</v>
      </c>
      <c r="H304" s="13" t="n">
        <v>2</v>
      </c>
      <c r="I304" s="10" t="s">
        <v>1105</v>
      </c>
      <c r="J304" s="10" t="s">
        <v>1106</v>
      </c>
      <c r="K304" s="10" t="s">
        <v>1001</v>
      </c>
      <c r="L304" s="10"/>
      <c r="M304" s="10" t="str">
        <f aca="false">IF(C304="","SIN ASIGNAR","ASIGNADO")</f>
        <v>ASIGNADO</v>
      </c>
      <c r="N304" s="10" t="s">
        <v>991</v>
      </c>
    </row>
    <row r="305" customFormat="false" ht="15" hidden="false" customHeight="false" outlineLevel="0" collapsed="false">
      <c r="A305" s="10" t="n">
        <v>300</v>
      </c>
      <c r="B305" s="10" t="s">
        <v>25</v>
      </c>
      <c r="C305" s="8" t="s">
        <v>831</v>
      </c>
      <c r="D305" s="10" t="str">
        <f aca="false">IF(C305="","",IFERROR(INDEX(NIVEL!$B:$B,MATCH(C305,NIVEL!$A:$A,0)),"¡Código no existe!"))</f>
        <v>Unión A.C. SCH-10 D=6"</v>
      </c>
      <c r="E305" s="10" t="str">
        <f aca="false">IF(C305="","",IFERROR(INDEX(NIVEL!$C:$C,MATCH(C305,NIVEL!$A:$A,0)),""))</f>
        <v>Un.</v>
      </c>
      <c r="F305" s="10" t="s">
        <v>1018</v>
      </c>
      <c r="G305" s="10" t="n">
        <f aca="false">IFERROR(MATCH(F305,LISTAS!$D$2:$D$22,0),99)</f>
        <v>19</v>
      </c>
      <c r="H305" s="13" t="n">
        <v>3</v>
      </c>
      <c r="I305" s="10" t="s">
        <v>1105</v>
      </c>
      <c r="J305" s="10" t="s">
        <v>1106</v>
      </c>
      <c r="K305" s="10" t="s">
        <v>1001</v>
      </c>
      <c r="L305" s="10"/>
      <c r="M305" s="10" t="str">
        <f aca="false">IF(C305="","SIN ASIGNAR","ASIGNADO")</f>
        <v>ASIGNADO</v>
      </c>
      <c r="N305" s="10" t="s">
        <v>991</v>
      </c>
    </row>
    <row r="306" customFormat="false" ht="15" hidden="false" customHeight="false" outlineLevel="0" collapsed="false">
      <c r="A306" s="10" t="n">
        <v>301</v>
      </c>
      <c r="B306" s="10" t="s">
        <v>25</v>
      </c>
      <c r="C306" s="8" t="s">
        <v>831</v>
      </c>
      <c r="D306" s="10" t="str">
        <f aca="false">IF(C306="","",IFERROR(INDEX(NIVEL!$B:$B,MATCH(C306,NIVEL!$A:$A,0)),"¡Código no existe!"))</f>
        <v>Unión A.C. SCH-10 D=6"</v>
      </c>
      <c r="E306" s="10" t="str">
        <f aca="false">IF(C306="","",IFERROR(INDEX(NIVEL!$C:$C,MATCH(C306,NIVEL!$A:$A,0)),""))</f>
        <v>Un.</v>
      </c>
      <c r="F306" s="10" t="s">
        <v>1022</v>
      </c>
      <c r="G306" s="10" t="n">
        <f aca="false">IFERROR(MATCH(F306,LISTAS!$D$2:$D$22,0),99)</f>
        <v>20</v>
      </c>
      <c r="H306" s="13" t="n">
        <v>2</v>
      </c>
      <c r="I306" s="10" t="s">
        <v>1105</v>
      </c>
      <c r="J306" s="10" t="s">
        <v>1106</v>
      </c>
      <c r="K306" s="10" t="s">
        <v>1001</v>
      </c>
      <c r="L306" s="10"/>
      <c r="M306" s="10" t="str">
        <f aca="false">IF(C306="","SIN ASIGNAR","ASIGNADO")</f>
        <v>ASIGNADO</v>
      </c>
      <c r="N306" s="10" t="s">
        <v>991</v>
      </c>
    </row>
    <row r="307" customFormat="false" ht="15" hidden="false" customHeight="false" outlineLevel="0" collapsed="false">
      <c r="A307" s="10" t="n">
        <v>302</v>
      </c>
      <c r="B307" s="10" t="s">
        <v>25</v>
      </c>
      <c r="C307" s="8" t="s">
        <v>831</v>
      </c>
      <c r="D307" s="10" t="str">
        <f aca="false">IF(C307="","",IFERROR(INDEX(NIVEL!$B:$B,MATCH(C307,NIVEL!$A:$A,0)),"¡Código no existe!"))</f>
        <v>Unión A.C. SCH-10 D=6"</v>
      </c>
      <c r="E307" s="10" t="str">
        <f aca="false">IF(C307="","",IFERROR(INDEX(NIVEL!$C:$C,MATCH(C307,NIVEL!$A:$A,0)),""))</f>
        <v>Un.</v>
      </c>
      <c r="F307" s="10" t="s">
        <v>1059</v>
      </c>
      <c r="G307" s="10" t="n">
        <f aca="false">IFERROR(MATCH(F307,LISTAS!$D$2:$D$22,0),99)</f>
        <v>21</v>
      </c>
      <c r="H307" s="13" t="n">
        <v>2</v>
      </c>
      <c r="I307" s="10" t="s">
        <v>1105</v>
      </c>
      <c r="J307" s="10" t="s">
        <v>1106</v>
      </c>
      <c r="K307" s="10" t="s">
        <v>1001</v>
      </c>
      <c r="L307" s="10"/>
      <c r="M307" s="10" t="str">
        <f aca="false">IF(C307="","SIN ASIGNAR","ASIGNADO")</f>
        <v>ASIGNADO</v>
      </c>
      <c r="N307" s="10" t="s">
        <v>991</v>
      </c>
    </row>
    <row r="308" customFormat="false" ht="15" hidden="false" customHeight="false" outlineLevel="0" collapsed="false">
      <c r="A308" s="10" t="n">
        <v>303</v>
      </c>
      <c r="B308" s="10" t="s">
        <v>25</v>
      </c>
      <c r="C308" s="8" t="s">
        <v>829</v>
      </c>
      <c r="D308" s="10" t="str">
        <f aca="false">IF(C308="","",IFERROR(INDEX(NIVEL!$B:$B,MATCH(C308,NIVEL!$A:$A,0)),"¡Código no existe!"))</f>
        <v>Unión A.C. SCH-10 D=2-1/2"</v>
      </c>
      <c r="E308" s="10" t="str">
        <f aca="false">IF(C308="","",IFERROR(INDEX(NIVEL!$C:$C,MATCH(C308,NIVEL!$A:$A,0)),""))</f>
        <v>Un.</v>
      </c>
      <c r="F308" s="10" t="s">
        <v>1008</v>
      </c>
      <c r="G308" s="10" t="n">
        <f aca="false">IFERROR(MATCH(F308,LISTAS!$D$2:$D$22,0),99)</f>
        <v>3</v>
      </c>
      <c r="H308" s="13" t="n">
        <v>1</v>
      </c>
      <c r="I308" s="10" t="s">
        <v>1107</v>
      </c>
      <c r="J308" s="10" t="s">
        <v>1106</v>
      </c>
      <c r="K308" s="10" t="s">
        <v>1080</v>
      </c>
      <c r="L308" s="10"/>
      <c r="M308" s="10" t="str">
        <f aca="false">IF(C308="","SIN ASIGNAR","ASIGNADO")</f>
        <v>ASIGNADO</v>
      </c>
      <c r="N308" s="10" t="s">
        <v>991</v>
      </c>
    </row>
    <row r="309" customFormat="false" ht="15" hidden="false" customHeight="false" outlineLevel="0" collapsed="false">
      <c r="A309" s="10" t="n">
        <v>304</v>
      </c>
      <c r="B309" s="10" t="s">
        <v>25</v>
      </c>
      <c r="C309" s="8" t="s">
        <v>829</v>
      </c>
      <c r="D309" s="10" t="str">
        <f aca="false">IF(C309="","",IFERROR(INDEX(NIVEL!$B:$B,MATCH(C309,NIVEL!$A:$A,0)),"¡Código no existe!"))</f>
        <v>Unión A.C. SCH-10 D=2-1/2"</v>
      </c>
      <c r="E309" s="10" t="str">
        <f aca="false">IF(C309="","",IFERROR(INDEX(NIVEL!$C:$C,MATCH(C309,NIVEL!$A:$A,0)),""))</f>
        <v>Un.</v>
      </c>
      <c r="F309" s="10" t="s">
        <v>1011</v>
      </c>
      <c r="G309" s="10" t="n">
        <f aca="false">IFERROR(MATCH(F309,LISTAS!$D$2:$D$22,0),99)</f>
        <v>4</v>
      </c>
      <c r="H309" s="13" t="n">
        <v>1</v>
      </c>
      <c r="I309" s="10" t="s">
        <v>1107</v>
      </c>
      <c r="J309" s="10" t="s">
        <v>1106</v>
      </c>
      <c r="K309" s="10" t="s">
        <v>1080</v>
      </c>
      <c r="L309" s="10"/>
      <c r="M309" s="10" t="str">
        <f aca="false">IF(C309="","SIN ASIGNAR","ASIGNADO")</f>
        <v>ASIGNADO</v>
      </c>
      <c r="N309" s="10" t="s">
        <v>991</v>
      </c>
    </row>
    <row r="310" customFormat="false" ht="15" hidden="false" customHeight="false" outlineLevel="0" collapsed="false">
      <c r="A310" s="10" t="n">
        <v>305</v>
      </c>
      <c r="B310" s="10" t="s">
        <v>25</v>
      </c>
      <c r="C310" s="8" t="s">
        <v>829</v>
      </c>
      <c r="D310" s="10" t="str">
        <f aca="false">IF(C310="","",IFERROR(INDEX(NIVEL!$B:$B,MATCH(C310,NIVEL!$A:$A,0)),"¡Código no existe!"))</f>
        <v>Unión A.C. SCH-10 D=2-1/2"</v>
      </c>
      <c r="E310" s="10" t="str">
        <f aca="false">IF(C310="","",IFERROR(INDEX(NIVEL!$C:$C,MATCH(C310,NIVEL!$A:$A,0)),""))</f>
        <v>Un.</v>
      </c>
      <c r="F310" s="10" t="s">
        <v>1012</v>
      </c>
      <c r="G310" s="10" t="n">
        <f aca="false">IFERROR(MATCH(F310,LISTAS!$D$2:$D$22,0),99)</f>
        <v>5</v>
      </c>
      <c r="H310" s="13" t="n">
        <v>1</v>
      </c>
      <c r="I310" s="10" t="s">
        <v>1107</v>
      </c>
      <c r="J310" s="10" t="s">
        <v>1106</v>
      </c>
      <c r="K310" s="10" t="s">
        <v>1080</v>
      </c>
      <c r="L310" s="10"/>
      <c r="M310" s="10" t="str">
        <f aca="false">IF(C310="","SIN ASIGNAR","ASIGNADO")</f>
        <v>ASIGNADO</v>
      </c>
      <c r="N310" s="10" t="s">
        <v>991</v>
      </c>
    </row>
    <row r="311" customFormat="false" ht="15" hidden="false" customHeight="false" outlineLevel="0" collapsed="false">
      <c r="A311" s="10" t="n">
        <v>306</v>
      </c>
      <c r="B311" s="10" t="s">
        <v>25</v>
      </c>
      <c r="C311" s="8" t="s">
        <v>829</v>
      </c>
      <c r="D311" s="10" t="str">
        <f aca="false">IF(C311="","",IFERROR(INDEX(NIVEL!$B:$B,MATCH(C311,NIVEL!$A:$A,0)),"¡Código no existe!"))</f>
        <v>Unión A.C. SCH-10 D=2-1/2"</v>
      </c>
      <c r="E311" s="10" t="str">
        <f aca="false">IF(C311="","",IFERROR(INDEX(NIVEL!$C:$C,MATCH(C311,NIVEL!$A:$A,0)),""))</f>
        <v>Un.</v>
      </c>
      <c r="F311" s="10" t="s">
        <v>1013</v>
      </c>
      <c r="G311" s="10" t="n">
        <f aca="false">IFERROR(MATCH(F311,LISTAS!$D$2:$D$22,0),99)</f>
        <v>6</v>
      </c>
      <c r="H311" s="13" t="n">
        <v>1</v>
      </c>
      <c r="I311" s="10" t="s">
        <v>1107</v>
      </c>
      <c r="J311" s="10" t="s">
        <v>1106</v>
      </c>
      <c r="K311" s="10" t="s">
        <v>1080</v>
      </c>
      <c r="L311" s="10"/>
      <c r="M311" s="10" t="str">
        <f aca="false">IF(C311="","SIN ASIGNAR","ASIGNADO")</f>
        <v>ASIGNADO</v>
      </c>
      <c r="N311" s="10" t="s">
        <v>991</v>
      </c>
    </row>
    <row r="312" customFormat="false" ht="15" hidden="false" customHeight="false" outlineLevel="0" collapsed="false">
      <c r="A312" s="10" t="n">
        <v>307</v>
      </c>
      <c r="B312" s="10" t="s">
        <v>25</v>
      </c>
      <c r="C312" s="8" t="s">
        <v>829</v>
      </c>
      <c r="D312" s="10" t="str">
        <f aca="false">IF(C312="","",IFERROR(INDEX(NIVEL!$B:$B,MATCH(C312,NIVEL!$A:$A,0)),"¡Código no existe!"))</f>
        <v>Unión A.C. SCH-10 D=2-1/2"</v>
      </c>
      <c r="E312" s="10" t="str">
        <f aca="false">IF(C312="","",IFERROR(INDEX(NIVEL!$C:$C,MATCH(C312,NIVEL!$A:$A,0)),""))</f>
        <v>Un.</v>
      </c>
      <c r="F312" s="10" t="s">
        <v>1014</v>
      </c>
      <c r="G312" s="10" t="n">
        <f aca="false">IFERROR(MATCH(F312,LISTAS!$D$2:$D$22,0),99)</f>
        <v>7</v>
      </c>
      <c r="H312" s="13" t="n">
        <v>2</v>
      </c>
      <c r="I312" s="10" t="s">
        <v>1107</v>
      </c>
      <c r="J312" s="10" t="s">
        <v>1106</v>
      </c>
      <c r="K312" s="10" t="s">
        <v>1080</v>
      </c>
      <c r="L312" s="10"/>
      <c r="M312" s="10" t="str">
        <f aca="false">IF(C312="","SIN ASIGNAR","ASIGNADO")</f>
        <v>ASIGNADO</v>
      </c>
      <c r="N312" s="10" t="s">
        <v>991</v>
      </c>
    </row>
    <row r="313" customFormat="false" ht="15" hidden="false" customHeight="false" outlineLevel="0" collapsed="false">
      <c r="A313" s="10" t="n">
        <v>308</v>
      </c>
      <c r="B313" s="10" t="s">
        <v>25</v>
      </c>
      <c r="C313" s="8" t="s">
        <v>829</v>
      </c>
      <c r="D313" s="10" t="str">
        <f aca="false">IF(C313="","",IFERROR(INDEX(NIVEL!$B:$B,MATCH(C313,NIVEL!$A:$A,0)),"¡Código no existe!"))</f>
        <v>Unión A.C. SCH-10 D=2-1/2"</v>
      </c>
      <c r="E313" s="10" t="str">
        <f aca="false">IF(C313="","",IFERROR(INDEX(NIVEL!$C:$C,MATCH(C313,NIVEL!$A:$A,0)),""))</f>
        <v>Un.</v>
      </c>
      <c r="F313" s="10" t="s">
        <v>1017</v>
      </c>
      <c r="G313" s="10" t="n">
        <f aca="false">IFERROR(MATCH(F313,LISTAS!$D$2:$D$22,0),99)</f>
        <v>8</v>
      </c>
      <c r="H313" s="13" t="n">
        <v>1</v>
      </c>
      <c r="I313" s="10" t="s">
        <v>1107</v>
      </c>
      <c r="J313" s="10" t="s">
        <v>1106</v>
      </c>
      <c r="K313" s="10" t="s">
        <v>1080</v>
      </c>
      <c r="L313" s="10"/>
      <c r="M313" s="10" t="str">
        <f aca="false">IF(C313="","SIN ASIGNAR","ASIGNADO")</f>
        <v>ASIGNADO</v>
      </c>
      <c r="N313" s="10" t="s">
        <v>991</v>
      </c>
    </row>
    <row r="314" customFormat="false" ht="15" hidden="false" customHeight="false" outlineLevel="0" collapsed="false">
      <c r="A314" s="10" t="n">
        <v>309</v>
      </c>
      <c r="B314" s="10" t="s">
        <v>25</v>
      </c>
      <c r="C314" s="8" t="s">
        <v>821</v>
      </c>
      <c r="D314" s="10" t="str">
        <f aca="false">IF(C314="","",IFERROR(INDEX(NIVEL!$B:$B,MATCH(C314,NIVEL!$A:$A,0)),"¡Código no existe!"))</f>
        <v>Codo A.G. SCH-40</v>
      </c>
      <c r="E314" s="10" t="str">
        <f aca="false">IF(C314="","",IFERROR(INDEX(NIVEL!$C:$C,MATCH(C314,NIVEL!$A:$A,0)),""))</f>
        <v>Un.</v>
      </c>
      <c r="F314" s="10" t="s">
        <v>987</v>
      </c>
      <c r="G314" s="10" t="n">
        <f aca="false">IFERROR(MATCH(F314,LISTAS!$D$2:$D$22,0),99)</f>
        <v>1</v>
      </c>
      <c r="H314" s="13" t="n">
        <v>2</v>
      </c>
      <c r="I314" s="10" t="s">
        <v>1108</v>
      </c>
      <c r="J314" s="10" t="s">
        <v>1069</v>
      </c>
      <c r="K314" s="10" t="s">
        <v>1109</v>
      </c>
      <c r="L314" s="10"/>
      <c r="M314" s="10" t="str">
        <f aca="false">IF(C314="","SIN ASIGNAR","ASIGNADO")</f>
        <v>ASIGNADO</v>
      </c>
      <c r="N314" s="10" t="s">
        <v>991</v>
      </c>
    </row>
    <row r="315" customFormat="false" ht="15" hidden="false" customHeight="false" outlineLevel="0" collapsed="false">
      <c r="A315" s="10" t="n">
        <v>310</v>
      </c>
      <c r="B315" s="10" t="s">
        <v>25</v>
      </c>
      <c r="C315" s="8" t="s">
        <v>821</v>
      </c>
      <c r="D315" s="10" t="str">
        <f aca="false">IF(C315="","",IFERROR(INDEX(NIVEL!$B:$B,MATCH(C315,NIVEL!$A:$A,0)),"¡Código no existe!"))</f>
        <v>Codo A.G. SCH-40</v>
      </c>
      <c r="E315" s="10" t="str">
        <f aca="false">IF(C315="","",IFERROR(INDEX(NIVEL!$C:$C,MATCH(C315,NIVEL!$A:$A,0)),""))</f>
        <v>Un.</v>
      </c>
      <c r="F315" s="10" t="s">
        <v>1031</v>
      </c>
      <c r="G315" s="10" t="n">
        <f aca="false">IFERROR(MATCH(F315,LISTAS!$D$2:$D$22,0),99)</f>
        <v>2</v>
      </c>
      <c r="H315" s="13" t="n">
        <v>9</v>
      </c>
      <c r="I315" s="10" t="s">
        <v>1108</v>
      </c>
      <c r="J315" s="10" t="s">
        <v>1069</v>
      </c>
      <c r="K315" s="10" t="s">
        <v>1109</v>
      </c>
      <c r="L315" s="10"/>
      <c r="M315" s="10" t="str">
        <f aca="false">IF(C315="","SIN ASIGNAR","ASIGNADO")</f>
        <v>ASIGNADO</v>
      </c>
      <c r="N315" s="10" t="s">
        <v>991</v>
      </c>
    </row>
    <row r="316" customFormat="false" ht="15" hidden="false" customHeight="false" outlineLevel="0" collapsed="false">
      <c r="A316" s="10" t="n">
        <v>311</v>
      </c>
      <c r="B316" s="10" t="s">
        <v>25</v>
      </c>
      <c r="C316" s="8" t="s">
        <v>821</v>
      </c>
      <c r="D316" s="10" t="str">
        <f aca="false">IF(C316="","",IFERROR(INDEX(NIVEL!$B:$B,MATCH(C316,NIVEL!$A:$A,0)),"¡Código no existe!"))</f>
        <v>Codo A.G. SCH-40</v>
      </c>
      <c r="E316" s="10" t="str">
        <f aca="false">IF(C316="","",IFERROR(INDEX(NIVEL!$C:$C,MATCH(C316,NIVEL!$A:$A,0)),""))</f>
        <v>Un.</v>
      </c>
      <c r="F316" s="10" t="s">
        <v>1008</v>
      </c>
      <c r="G316" s="10" t="n">
        <f aca="false">IFERROR(MATCH(F316,LISTAS!$D$2:$D$22,0),99)</f>
        <v>3</v>
      </c>
      <c r="H316" s="13" t="n">
        <v>14</v>
      </c>
      <c r="I316" s="10" t="s">
        <v>1108</v>
      </c>
      <c r="J316" s="10" t="s">
        <v>1069</v>
      </c>
      <c r="K316" s="10" t="s">
        <v>1109</v>
      </c>
      <c r="L316" s="10"/>
      <c r="M316" s="10" t="str">
        <f aca="false">IF(C316="","SIN ASIGNAR","ASIGNADO")</f>
        <v>ASIGNADO</v>
      </c>
      <c r="N316" s="10" t="s">
        <v>991</v>
      </c>
    </row>
    <row r="317" customFormat="false" ht="15" hidden="false" customHeight="false" outlineLevel="0" collapsed="false">
      <c r="A317" s="10" t="n">
        <v>312</v>
      </c>
      <c r="B317" s="10" t="s">
        <v>25</v>
      </c>
      <c r="C317" s="8" t="s">
        <v>821</v>
      </c>
      <c r="D317" s="10" t="str">
        <f aca="false">IF(C317="","",IFERROR(INDEX(NIVEL!$B:$B,MATCH(C317,NIVEL!$A:$A,0)),"¡Código no existe!"))</f>
        <v>Codo A.G. SCH-40</v>
      </c>
      <c r="E317" s="10" t="str">
        <f aca="false">IF(C317="","",IFERROR(INDEX(NIVEL!$C:$C,MATCH(C317,NIVEL!$A:$A,0)),""))</f>
        <v>Un.</v>
      </c>
      <c r="F317" s="10" t="s">
        <v>1011</v>
      </c>
      <c r="G317" s="10" t="n">
        <f aca="false">IFERROR(MATCH(F317,LISTAS!$D$2:$D$22,0),99)</f>
        <v>4</v>
      </c>
      <c r="H317" s="13" t="n">
        <v>22</v>
      </c>
      <c r="I317" s="10" t="s">
        <v>1108</v>
      </c>
      <c r="J317" s="10" t="s">
        <v>1069</v>
      </c>
      <c r="K317" s="10" t="s">
        <v>1109</v>
      </c>
      <c r="L317" s="10"/>
      <c r="M317" s="10" t="str">
        <f aca="false">IF(C317="","SIN ASIGNAR","ASIGNADO")</f>
        <v>ASIGNADO</v>
      </c>
      <c r="N317" s="10" t="s">
        <v>991</v>
      </c>
    </row>
    <row r="318" customFormat="false" ht="15" hidden="false" customHeight="false" outlineLevel="0" collapsed="false">
      <c r="A318" s="10" t="n">
        <v>313</v>
      </c>
      <c r="B318" s="10" t="s">
        <v>25</v>
      </c>
      <c r="C318" s="8" t="s">
        <v>821</v>
      </c>
      <c r="D318" s="10" t="str">
        <f aca="false">IF(C318="","",IFERROR(INDEX(NIVEL!$B:$B,MATCH(C318,NIVEL!$A:$A,0)),"¡Código no existe!"))</f>
        <v>Codo A.G. SCH-40</v>
      </c>
      <c r="E318" s="10" t="str">
        <f aca="false">IF(C318="","",IFERROR(INDEX(NIVEL!$C:$C,MATCH(C318,NIVEL!$A:$A,0)),""))</f>
        <v>Un.</v>
      </c>
      <c r="F318" s="10" t="s">
        <v>1012</v>
      </c>
      <c r="G318" s="10" t="n">
        <f aca="false">IFERROR(MATCH(F318,LISTAS!$D$2:$D$22,0),99)</f>
        <v>5</v>
      </c>
      <c r="H318" s="13" t="n">
        <v>28</v>
      </c>
      <c r="I318" s="10" t="s">
        <v>1108</v>
      </c>
      <c r="J318" s="10" t="s">
        <v>1069</v>
      </c>
      <c r="K318" s="10" t="s">
        <v>1109</v>
      </c>
      <c r="L318" s="10"/>
      <c r="M318" s="10" t="str">
        <f aca="false">IF(C318="","SIN ASIGNAR","ASIGNADO")</f>
        <v>ASIGNADO</v>
      </c>
      <c r="N318" s="10" t="s">
        <v>991</v>
      </c>
    </row>
    <row r="319" customFormat="false" ht="15" hidden="false" customHeight="false" outlineLevel="0" collapsed="false">
      <c r="A319" s="10" t="n">
        <v>314</v>
      </c>
      <c r="B319" s="10" t="s">
        <v>25</v>
      </c>
      <c r="C319" s="8" t="s">
        <v>821</v>
      </c>
      <c r="D319" s="10" t="str">
        <f aca="false">IF(C319="","",IFERROR(INDEX(NIVEL!$B:$B,MATCH(C319,NIVEL!$A:$A,0)),"¡Código no existe!"))</f>
        <v>Codo A.G. SCH-40</v>
      </c>
      <c r="E319" s="10" t="str">
        <f aca="false">IF(C319="","",IFERROR(INDEX(NIVEL!$C:$C,MATCH(C319,NIVEL!$A:$A,0)),""))</f>
        <v>Un.</v>
      </c>
      <c r="F319" s="10" t="s">
        <v>1013</v>
      </c>
      <c r="G319" s="10" t="n">
        <f aca="false">IFERROR(MATCH(F319,LISTAS!$D$2:$D$22,0),99)</f>
        <v>6</v>
      </c>
      <c r="H319" s="13" t="n">
        <v>20</v>
      </c>
      <c r="I319" s="10" t="s">
        <v>1108</v>
      </c>
      <c r="J319" s="10" t="s">
        <v>1069</v>
      </c>
      <c r="K319" s="10" t="s">
        <v>1109</v>
      </c>
      <c r="L319" s="10"/>
      <c r="M319" s="10" t="str">
        <f aca="false">IF(C319="","SIN ASIGNAR","ASIGNADO")</f>
        <v>ASIGNADO</v>
      </c>
      <c r="N319" s="10" t="s">
        <v>991</v>
      </c>
    </row>
    <row r="320" customFormat="false" ht="15" hidden="false" customHeight="false" outlineLevel="0" collapsed="false">
      <c r="A320" s="10" t="n">
        <v>315</v>
      </c>
      <c r="B320" s="10" t="s">
        <v>25</v>
      </c>
      <c r="C320" s="8" t="s">
        <v>821</v>
      </c>
      <c r="D320" s="10" t="str">
        <f aca="false">IF(C320="","",IFERROR(INDEX(NIVEL!$B:$B,MATCH(C320,NIVEL!$A:$A,0)),"¡Código no existe!"))</f>
        <v>Codo A.G. SCH-40</v>
      </c>
      <c r="E320" s="10" t="str">
        <f aca="false">IF(C320="","",IFERROR(INDEX(NIVEL!$C:$C,MATCH(C320,NIVEL!$A:$A,0)),""))</f>
        <v>Un.</v>
      </c>
      <c r="F320" s="10" t="s">
        <v>1014</v>
      </c>
      <c r="G320" s="10" t="n">
        <f aca="false">IFERROR(MATCH(F320,LISTAS!$D$2:$D$22,0),99)</f>
        <v>7</v>
      </c>
      <c r="H320" s="13" t="n">
        <v>6</v>
      </c>
      <c r="I320" s="10" t="s">
        <v>1108</v>
      </c>
      <c r="J320" s="10" t="s">
        <v>1069</v>
      </c>
      <c r="K320" s="10" t="s">
        <v>1109</v>
      </c>
      <c r="L320" s="10"/>
      <c r="M320" s="10" t="str">
        <f aca="false">IF(C320="","SIN ASIGNAR","ASIGNADO")</f>
        <v>ASIGNADO</v>
      </c>
      <c r="N320" s="10" t="s">
        <v>991</v>
      </c>
    </row>
    <row r="321" customFormat="false" ht="15" hidden="false" customHeight="false" outlineLevel="0" collapsed="false">
      <c r="A321" s="10" t="n">
        <v>316</v>
      </c>
      <c r="B321" s="10" t="s">
        <v>25</v>
      </c>
      <c r="C321" s="8" t="s">
        <v>821</v>
      </c>
      <c r="D321" s="10" t="str">
        <f aca="false">IF(C321="","",IFERROR(INDEX(NIVEL!$B:$B,MATCH(C321,NIVEL!$A:$A,0)),"¡Código no existe!"))</f>
        <v>Codo A.G. SCH-40</v>
      </c>
      <c r="E321" s="10" t="str">
        <f aca="false">IF(C321="","",IFERROR(INDEX(NIVEL!$C:$C,MATCH(C321,NIVEL!$A:$A,0)),""))</f>
        <v>Un.</v>
      </c>
      <c r="F321" s="10" t="s">
        <v>1017</v>
      </c>
      <c r="G321" s="10" t="n">
        <f aca="false">IFERROR(MATCH(F321,LISTAS!$D$2:$D$22,0),99)</f>
        <v>8</v>
      </c>
      <c r="H321" s="13" t="n">
        <v>5</v>
      </c>
      <c r="I321" s="10" t="s">
        <v>1108</v>
      </c>
      <c r="J321" s="10" t="s">
        <v>1069</v>
      </c>
      <c r="K321" s="10" t="s">
        <v>1109</v>
      </c>
      <c r="L321" s="10"/>
      <c r="M321" s="10" t="str">
        <f aca="false">IF(C321="","SIN ASIGNAR","ASIGNADO")</f>
        <v>ASIGNADO</v>
      </c>
      <c r="N321" s="10" t="s">
        <v>991</v>
      </c>
    </row>
    <row r="322" customFormat="false" ht="15" hidden="false" customHeight="false" outlineLevel="0" collapsed="false">
      <c r="A322" s="10" t="n">
        <v>317</v>
      </c>
      <c r="B322" s="10" t="s">
        <v>25</v>
      </c>
      <c r="C322" s="8" t="s">
        <v>821</v>
      </c>
      <c r="D322" s="10" t="str">
        <f aca="false">IF(C322="","",IFERROR(INDEX(NIVEL!$B:$B,MATCH(C322,NIVEL!$A:$A,0)),"¡Código no existe!"))</f>
        <v>Codo A.G. SCH-40</v>
      </c>
      <c r="E322" s="10" t="str">
        <f aca="false">IF(C322="","",IFERROR(INDEX(NIVEL!$C:$C,MATCH(C322,NIVEL!$A:$A,0)),""))</f>
        <v>Un.</v>
      </c>
      <c r="F322" s="10" t="s">
        <v>1049</v>
      </c>
      <c r="G322" s="10" t="n">
        <f aca="false">IFERROR(MATCH(F322,LISTAS!$D$2:$D$22,0),99)</f>
        <v>9</v>
      </c>
      <c r="H322" s="13" t="n">
        <v>6</v>
      </c>
      <c r="I322" s="10" t="s">
        <v>1108</v>
      </c>
      <c r="J322" s="10" t="s">
        <v>1069</v>
      </c>
      <c r="K322" s="10" t="s">
        <v>1109</v>
      </c>
      <c r="L322" s="10"/>
      <c r="M322" s="10" t="str">
        <f aca="false">IF(C322="","SIN ASIGNAR","ASIGNADO")</f>
        <v>ASIGNADO</v>
      </c>
      <c r="N322" s="10" t="s">
        <v>991</v>
      </c>
    </row>
    <row r="323" customFormat="false" ht="15" hidden="false" customHeight="false" outlineLevel="0" collapsed="false">
      <c r="A323" s="10" t="n">
        <v>318</v>
      </c>
      <c r="B323" s="10" t="s">
        <v>25</v>
      </c>
      <c r="C323" s="8" t="s">
        <v>821</v>
      </c>
      <c r="D323" s="10" t="str">
        <f aca="false">IF(C323="","",IFERROR(INDEX(NIVEL!$B:$B,MATCH(C323,NIVEL!$A:$A,0)),"¡Código no existe!"))</f>
        <v>Codo A.G. SCH-40</v>
      </c>
      <c r="E323" s="10" t="str">
        <f aca="false">IF(C323="","",IFERROR(INDEX(NIVEL!$C:$C,MATCH(C323,NIVEL!$A:$A,0)),""))</f>
        <v>Un.</v>
      </c>
      <c r="F323" s="10" t="s">
        <v>1050</v>
      </c>
      <c r="G323" s="10" t="n">
        <f aca="false">IFERROR(MATCH(F323,LISTAS!$D$2:$D$22,0),99)</f>
        <v>10</v>
      </c>
      <c r="H323" s="13" t="n">
        <v>6</v>
      </c>
      <c r="I323" s="10" t="s">
        <v>1108</v>
      </c>
      <c r="J323" s="10" t="s">
        <v>1069</v>
      </c>
      <c r="K323" s="10" t="s">
        <v>1109</v>
      </c>
      <c r="L323" s="10"/>
      <c r="M323" s="10" t="str">
        <f aca="false">IF(C323="","SIN ASIGNAR","ASIGNADO")</f>
        <v>ASIGNADO</v>
      </c>
      <c r="N323" s="10" t="s">
        <v>991</v>
      </c>
    </row>
    <row r="324" customFormat="false" ht="15" hidden="false" customHeight="false" outlineLevel="0" collapsed="false">
      <c r="A324" s="10" t="n">
        <v>319</v>
      </c>
      <c r="B324" s="10" t="s">
        <v>25</v>
      </c>
      <c r="C324" s="8" t="s">
        <v>821</v>
      </c>
      <c r="D324" s="10" t="str">
        <f aca="false">IF(C324="","",IFERROR(INDEX(NIVEL!$B:$B,MATCH(C324,NIVEL!$A:$A,0)),"¡Código no existe!"))</f>
        <v>Codo A.G. SCH-40</v>
      </c>
      <c r="E324" s="10" t="str">
        <f aca="false">IF(C324="","",IFERROR(INDEX(NIVEL!$C:$C,MATCH(C324,NIVEL!$A:$A,0)),""))</f>
        <v>Un.</v>
      </c>
      <c r="F324" s="10" t="s">
        <v>1051</v>
      </c>
      <c r="G324" s="10" t="n">
        <f aca="false">IFERROR(MATCH(F324,LISTAS!$D$2:$D$22,0),99)</f>
        <v>11</v>
      </c>
      <c r="H324" s="13" t="n">
        <v>6</v>
      </c>
      <c r="I324" s="10" t="s">
        <v>1108</v>
      </c>
      <c r="J324" s="10" t="s">
        <v>1069</v>
      </c>
      <c r="K324" s="10" t="s">
        <v>1109</v>
      </c>
      <c r="L324" s="10"/>
      <c r="M324" s="10" t="str">
        <f aca="false">IF(C324="","SIN ASIGNAR","ASIGNADO")</f>
        <v>ASIGNADO</v>
      </c>
      <c r="N324" s="10" t="s">
        <v>991</v>
      </c>
    </row>
    <row r="325" customFormat="false" ht="15" hidden="false" customHeight="false" outlineLevel="0" collapsed="false">
      <c r="A325" s="10" t="n">
        <v>320</v>
      </c>
      <c r="B325" s="10" t="s">
        <v>25</v>
      </c>
      <c r="C325" s="8" t="s">
        <v>821</v>
      </c>
      <c r="D325" s="10" t="str">
        <f aca="false">IF(C325="","",IFERROR(INDEX(NIVEL!$B:$B,MATCH(C325,NIVEL!$A:$A,0)),"¡Código no existe!"))</f>
        <v>Codo A.G. SCH-40</v>
      </c>
      <c r="E325" s="10" t="str">
        <f aca="false">IF(C325="","",IFERROR(INDEX(NIVEL!$C:$C,MATCH(C325,NIVEL!$A:$A,0)),""))</f>
        <v>Un.</v>
      </c>
      <c r="F325" s="10" t="s">
        <v>1052</v>
      </c>
      <c r="G325" s="10" t="n">
        <f aca="false">IFERROR(MATCH(F325,LISTAS!$D$2:$D$22,0),99)</f>
        <v>12</v>
      </c>
      <c r="H325" s="13" t="n">
        <v>6</v>
      </c>
      <c r="I325" s="10" t="s">
        <v>1108</v>
      </c>
      <c r="J325" s="10" t="s">
        <v>1069</v>
      </c>
      <c r="K325" s="10" t="s">
        <v>1109</v>
      </c>
      <c r="L325" s="10"/>
      <c r="M325" s="10" t="str">
        <f aca="false">IF(C325="","SIN ASIGNAR","ASIGNADO")</f>
        <v>ASIGNADO</v>
      </c>
      <c r="N325" s="10" t="s">
        <v>991</v>
      </c>
    </row>
    <row r="326" customFormat="false" ht="15" hidden="false" customHeight="false" outlineLevel="0" collapsed="false">
      <c r="A326" s="10" t="n">
        <v>321</v>
      </c>
      <c r="B326" s="10" t="s">
        <v>25</v>
      </c>
      <c r="C326" s="8" t="s">
        <v>821</v>
      </c>
      <c r="D326" s="10" t="str">
        <f aca="false">IF(C326="","",IFERROR(INDEX(NIVEL!$B:$B,MATCH(C326,NIVEL!$A:$A,0)),"¡Código no existe!"))</f>
        <v>Codo A.G. SCH-40</v>
      </c>
      <c r="E326" s="10" t="str">
        <f aca="false">IF(C326="","",IFERROR(INDEX(NIVEL!$C:$C,MATCH(C326,NIVEL!$A:$A,0)),""))</f>
        <v>Un.</v>
      </c>
      <c r="F326" s="10" t="s">
        <v>1053</v>
      </c>
      <c r="G326" s="10" t="n">
        <f aca="false">IFERROR(MATCH(F326,LISTAS!$D$2:$D$22,0),99)</f>
        <v>13</v>
      </c>
      <c r="H326" s="13" t="n">
        <v>6</v>
      </c>
      <c r="I326" s="10" t="s">
        <v>1108</v>
      </c>
      <c r="J326" s="10" t="s">
        <v>1069</v>
      </c>
      <c r="K326" s="10" t="s">
        <v>1109</v>
      </c>
      <c r="L326" s="10"/>
      <c r="M326" s="10" t="str">
        <f aca="false">IF(C326="","SIN ASIGNAR","ASIGNADO")</f>
        <v>ASIGNADO</v>
      </c>
      <c r="N326" s="10" t="s">
        <v>991</v>
      </c>
    </row>
    <row r="327" customFormat="false" ht="15" hidden="false" customHeight="false" outlineLevel="0" collapsed="false">
      <c r="A327" s="10" t="n">
        <v>322</v>
      </c>
      <c r="B327" s="10" t="s">
        <v>25</v>
      </c>
      <c r="C327" s="8" t="s">
        <v>821</v>
      </c>
      <c r="D327" s="10" t="str">
        <f aca="false">IF(C327="","",IFERROR(INDEX(NIVEL!$B:$B,MATCH(C327,NIVEL!$A:$A,0)),"¡Código no existe!"))</f>
        <v>Codo A.G. SCH-40</v>
      </c>
      <c r="E327" s="10" t="str">
        <f aca="false">IF(C327="","",IFERROR(INDEX(NIVEL!$C:$C,MATCH(C327,NIVEL!$A:$A,0)),""))</f>
        <v>Un.</v>
      </c>
      <c r="F327" s="10" t="s">
        <v>1054</v>
      </c>
      <c r="G327" s="10" t="n">
        <f aca="false">IFERROR(MATCH(F327,LISTAS!$D$2:$D$22,0),99)</f>
        <v>14</v>
      </c>
      <c r="H327" s="13" t="n">
        <v>6</v>
      </c>
      <c r="I327" s="10" t="s">
        <v>1108</v>
      </c>
      <c r="J327" s="10" t="s">
        <v>1069</v>
      </c>
      <c r="K327" s="10" t="s">
        <v>1109</v>
      </c>
      <c r="L327" s="10"/>
      <c r="M327" s="10" t="str">
        <f aca="false">IF(C327="","SIN ASIGNAR","ASIGNADO")</f>
        <v>ASIGNADO</v>
      </c>
      <c r="N327" s="10" t="s">
        <v>991</v>
      </c>
    </row>
    <row r="328" customFormat="false" ht="15" hidden="false" customHeight="false" outlineLevel="0" collapsed="false">
      <c r="A328" s="10" t="n">
        <v>323</v>
      </c>
      <c r="B328" s="10" t="s">
        <v>25</v>
      </c>
      <c r="C328" s="8" t="s">
        <v>821</v>
      </c>
      <c r="D328" s="10" t="str">
        <f aca="false">IF(C328="","",IFERROR(INDEX(NIVEL!$B:$B,MATCH(C328,NIVEL!$A:$A,0)),"¡Código no existe!"))</f>
        <v>Codo A.G. SCH-40</v>
      </c>
      <c r="E328" s="10" t="str">
        <f aca="false">IF(C328="","",IFERROR(INDEX(NIVEL!$C:$C,MATCH(C328,NIVEL!$A:$A,0)),""))</f>
        <v>Un.</v>
      </c>
      <c r="F328" s="10" t="s">
        <v>1055</v>
      </c>
      <c r="G328" s="10" t="n">
        <f aca="false">IFERROR(MATCH(F328,LISTAS!$D$2:$D$22,0),99)</f>
        <v>15</v>
      </c>
      <c r="H328" s="13" t="n">
        <v>6</v>
      </c>
      <c r="I328" s="10" t="s">
        <v>1108</v>
      </c>
      <c r="J328" s="10" t="s">
        <v>1069</v>
      </c>
      <c r="K328" s="10" t="s">
        <v>1109</v>
      </c>
      <c r="L328" s="10"/>
      <c r="M328" s="10" t="str">
        <f aca="false">IF(C328="","SIN ASIGNAR","ASIGNADO")</f>
        <v>ASIGNADO</v>
      </c>
      <c r="N328" s="10" t="s">
        <v>991</v>
      </c>
    </row>
    <row r="329" customFormat="false" ht="15" hidden="false" customHeight="false" outlineLevel="0" collapsed="false">
      <c r="A329" s="10" t="n">
        <v>324</v>
      </c>
      <c r="B329" s="10" t="s">
        <v>25</v>
      </c>
      <c r="C329" s="8" t="s">
        <v>821</v>
      </c>
      <c r="D329" s="10" t="str">
        <f aca="false">IF(C329="","",IFERROR(INDEX(NIVEL!$B:$B,MATCH(C329,NIVEL!$A:$A,0)),"¡Código no existe!"))</f>
        <v>Codo A.G. SCH-40</v>
      </c>
      <c r="E329" s="10" t="str">
        <f aca="false">IF(C329="","",IFERROR(INDEX(NIVEL!$C:$C,MATCH(C329,NIVEL!$A:$A,0)),""))</f>
        <v>Un.</v>
      </c>
      <c r="F329" s="10" t="s">
        <v>1056</v>
      </c>
      <c r="G329" s="10" t="n">
        <f aca="false">IFERROR(MATCH(F329,LISTAS!$D$2:$D$22,0),99)</f>
        <v>16</v>
      </c>
      <c r="H329" s="13" t="n">
        <v>6</v>
      </c>
      <c r="I329" s="10" t="s">
        <v>1108</v>
      </c>
      <c r="J329" s="10" t="s">
        <v>1069</v>
      </c>
      <c r="K329" s="10" t="s">
        <v>1109</v>
      </c>
      <c r="L329" s="10"/>
      <c r="M329" s="10" t="str">
        <f aca="false">IF(C329="","SIN ASIGNAR","ASIGNADO")</f>
        <v>ASIGNADO</v>
      </c>
      <c r="N329" s="10" t="s">
        <v>991</v>
      </c>
    </row>
    <row r="330" customFormat="false" ht="15" hidden="false" customHeight="false" outlineLevel="0" collapsed="false">
      <c r="A330" s="10" t="n">
        <v>325</v>
      </c>
      <c r="B330" s="10" t="s">
        <v>25</v>
      </c>
      <c r="C330" s="8" t="s">
        <v>821</v>
      </c>
      <c r="D330" s="10" t="str">
        <f aca="false">IF(C330="","",IFERROR(INDEX(NIVEL!$B:$B,MATCH(C330,NIVEL!$A:$A,0)),"¡Código no existe!"))</f>
        <v>Codo A.G. SCH-40</v>
      </c>
      <c r="E330" s="10" t="str">
        <f aca="false">IF(C330="","",IFERROR(INDEX(NIVEL!$C:$C,MATCH(C330,NIVEL!$A:$A,0)),""))</f>
        <v>Un.</v>
      </c>
      <c r="F330" s="10" t="s">
        <v>1057</v>
      </c>
      <c r="G330" s="10" t="n">
        <f aca="false">IFERROR(MATCH(F330,LISTAS!$D$2:$D$22,0),99)</f>
        <v>17</v>
      </c>
      <c r="H330" s="13" t="n">
        <v>6</v>
      </c>
      <c r="I330" s="10" t="s">
        <v>1108</v>
      </c>
      <c r="J330" s="10" t="s">
        <v>1069</v>
      </c>
      <c r="K330" s="10" t="s">
        <v>1109</v>
      </c>
      <c r="L330" s="10"/>
      <c r="M330" s="10" t="str">
        <f aca="false">IF(C330="","SIN ASIGNAR","ASIGNADO")</f>
        <v>ASIGNADO</v>
      </c>
      <c r="N330" s="10" t="s">
        <v>991</v>
      </c>
    </row>
    <row r="331" customFormat="false" ht="15" hidden="false" customHeight="false" outlineLevel="0" collapsed="false">
      <c r="A331" s="10" t="n">
        <v>326</v>
      </c>
      <c r="B331" s="10" t="s">
        <v>25</v>
      </c>
      <c r="C331" s="8" t="s">
        <v>821</v>
      </c>
      <c r="D331" s="10" t="str">
        <f aca="false">IF(C331="","",IFERROR(INDEX(NIVEL!$B:$B,MATCH(C331,NIVEL!$A:$A,0)),"¡Código no existe!"))</f>
        <v>Codo A.G. SCH-40</v>
      </c>
      <c r="E331" s="10" t="str">
        <f aca="false">IF(C331="","",IFERROR(INDEX(NIVEL!$C:$C,MATCH(C331,NIVEL!$A:$A,0)),""))</f>
        <v>Un.</v>
      </c>
      <c r="F331" s="10" t="s">
        <v>1058</v>
      </c>
      <c r="G331" s="10" t="n">
        <f aca="false">IFERROR(MATCH(F331,LISTAS!$D$2:$D$22,0),99)</f>
        <v>18</v>
      </c>
      <c r="H331" s="13" t="n">
        <v>6</v>
      </c>
      <c r="I331" s="10" t="s">
        <v>1108</v>
      </c>
      <c r="J331" s="10" t="s">
        <v>1069</v>
      </c>
      <c r="K331" s="10" t="s">
        <v>1109</v>
      </c>
      <c r="L331" s="10"/>
      <c r="M331" s="10" t="str">
        <f aca="false">IF(C331="","SIN ASIGNAR","ASIGNADO")</f>
        <v>ASIGNADO</v>
      </c>
      <c r="N331" s="10" t="s">
        <v>991</v>
      </c>
    </row>
    <row r="332" customFormat="false" ht="15" hidden="false" customHeight="false" outlineLevel="0" collapsed="false">
      <c r="A332" s="10" t="n">
        <v>327</v>
      </c>
      <c r="B332" s="10" t="s">
        <v>25</v>
      </c>
      <c r="C332" s="8" t="s">
        <v>821</v>
      </c>
      <c r="D332" s="10" t="str">
        <f aca="false">IF(C332="","",IFERROR(INDEX(NIVEL!$B:$B,MATCH(C332,NIVEL!$A:$A,0)),"¡Código no existe!"))</f>
        <v>Codo A.G. SCH-40</v>
      </c>
      <c r="E332" s="10" t="str">
        <f aca="false">IF(C332="","",IFERROR(INDEX(NIVEL!$C:$C,MATCH(C332,NIVEL!$A:$A,0)),""))</f>
        <v>Un.</v>
      </c>
      <c r="F332" s="10" t="s">
        <v>1018</v>
      </c>
      <c r="G332" s="10" t="n">
        <f aca="false">IFERROR(MATCH(F332,LISTAS!$D$2:$D$22,0),99)</f>
        <v>19</v>
      </c>
      <c r="H332" s="13" t="n">
        <v>6</v>
      </c>
      <c r="I332" s="10" t="s">
        <v>1108</v>
      </c>
      <c r="J332" s="10" t="s">
        <v>1069</v>
      </c>
      <c r="K332" s="10" t="s">
        <v>1021</v>
      </c>
      <c r="L332" s="10"/>
      <c r="M332" s="10" t="str">
        <f aca="false">IF(C332="","SIN ASIGNAR","ASIGNADO")</f>
        <v>ASIGNADO</v>
      </c>
      <c r="N332" s="10" t="s">
        <v>991</v>
      </c>
    </row>
    <row r="333" customFormat="false" ht="15" hidden="false" customHeight="false" outlineLevel="0" collapsed="false">
      <c r="A333" s="10" t="n">
        <v>328</v>
      </c>
      <c r="B333" s="10" t="s">
        <v>25</v>
      </c>
      <c r="C333" s="8" t="s">
        <v>821</v>
      </c>
      <c r="D333" s="10" t="str">
        <f aca="false">IF(C333="","",IFERROR(INDEX(NIVEL!$B:$B,MATCH(C333,NIVEL!$A:$A,0)),"¡Código no existe!"))</f>
        <v>Codo A.G. SCH-40</v>
      </c>
      <c r="E333" s="10" t="str">
        <f aca="false">IF(C333="","",IFERROR(INDEX(NIVEL!$C:$C,MATCH(C333,NIVEL!$A:$A,0)),""))</f>
        <v>Un.</v>
      </c>
      <c r="F333" s="10" t="s">
        <v>1018</v>
      </c>
      <c r="G333" s="10" t="n">
        <f aca="false">IFERROR(MATCH(F333,LISTAS!$D$2:$D$22,0),99)</f>
        <v>19</v>
      </c>
      <c r="H333" s="13" t="n">
        <v>6</v>
      </c>
      <c r="I333" s="10" t="s">
        <v>1108</v>
      </c>
      <c r="J333" s="10" t="s">
        <v>1069</v>
      </c>
      <c r="K333" s="10" t="s">
        <v>1109</v>
      </c>
      <c r="L333" s="10"/>
      <c r="M333" s="10" t="str">
        <f aca="false">IF(C333="","SIN ASIGNAR","ASIGNADO")</f>
        <v>ASIGNADO</v>
      </c>
      <c r="N333" s="10" t="s">
        <v>991</v>
      </c>
    </row>
    <row r="334" customFormat="false" ht="15" hidden="false" customHeight="false" outlineLevel="0" collapsed="false">
      <c r="A334" s="10" t="n">
        <v>329</v>
      </c>
      <c r="B334" s="10" t="s">
        <v>25</v>
      </c>
      <c r="C334" s="8" t="s">
        <v>821</v>
      </c>
      <c r="D334" s="10" t="str">
        <f aca="false">IF(C334="","",IFERROR(INDEX(NIVEL!$B:$B,MATCH(C334,NIVEL!$A:$A,0)),"¡Código no existe!"))</f>
        <v>Codo A.G. SCH-40</v>
      </c>
      <c r="E334" s="10" t="str">
        <f aca="false">IF(C334="","",IFERROR(INDEX(NIVEL!$C:$C,MATCH(C334,NIVEL!$A:$A,0)),""))</f>
        <v>Un.</v>
      </c>
      <c r="F334" s="10" t="s">
        <v>1022</v>
      </c>
      <c r="G334" s="10" t="n">
        <f aca="false">IFERROR(MATCH(F334,LISTAS!$D$2:$D$22,0),99)</f>
        <v>20</v>
      </c>
      <c r="H334" s="13" t="n">
        <v>6</v>
      </c>
      <c r="I334" s="10" t="s">
        <v>1108</v>
      </c>
      <c r="J334" s="10" t="s">
        <v>1069</v>
      </c>
      <c r="K334" s="10" t="s">
        <v>1109</v>
      </c>
      <c r="L334" s="10"/>
      <c r="M334" s="10" t="str">
        <f aca="false">IF(C334="","SIN ASIGNAR","ASIGNADO")</f>
        <v>ASIGNADO</v>
      </c>
      <c r="N334" s="10" t="s">
        <v>991</v>
      </c>
    </row>
    <row r="335" customFormat="false" ht="15" hidden="false" customHeight="false" outlineLevel="0" collapsed="false">
      <c r="A335" s="10" t="n">
        <v>330</v>
      </c>
      <c r="B335" s="10" t="s">
        <v>25</v>
      </c>
      <c r="C335" s="8" t="s">
        <v>821</v>
      </c>
      <c r="D335" s="10" t="str">
        <f aca="false">IF(C335="","",IFERROR(INDEX(NIVEL!$B:$B,MATCH(C335,NIVEL!$A:$A,0)),"¡Código no existe!"))</f>
        <v>Codo A.G. SCH-40</v>
      </c>
      <c r="E335" s="10" t="str">
        <f aca="false">IF(C335="","",IFERROR(INDEX(NIVEL!$C:$C,MATCH(C335,NIVEL!$A:$A,0)),""))</f>
        <v>Un.</v>
      </c>
      <c r="F335" s="10" t="s">
        <v>1059</v>
      </c>
      <c r="G335" s="10" t="n">
        <f aca="false">IFERROR(MATCH(F335,LISTAS!$D$2:$D$22,0),99)</f>
        <v>21</v>
      </c>
      <c r="H335" s="13" t="n">
        <v>1</v>
      </c>
      <c r="I335" s="10" t="s">
        <v>1108</v>
      </c>
      <c r="J335" s="10" t="s">
        <v>1069</v>
      </c>
      <c r="K335" s="10" t="s">
        <v>1109</v>
      </c>
      <c r="L335" s="10"/>
      <c r="M335" s="10" t="str">
        <f aca="false">IF(C335="","SIN ASIGNAR","ASIGNADO")</f>
        <v>ASIGNADO</v>
      </c>
      <c r="N335" s="10" t="s">
        <v>991</v>
      </c>
    </row>
    <row r="336" customFormat="false" ht="15" hidden="false" customHeight="false" outlineLevel="0" collapsed="false">
      <c r="A336" s="10" t="n">
        <v>331</v>
      </c>
      <c r="B336" s="10" t="s">
        <v>25</v>
      </c>
      <c r="C336" s="8" t="s">
        <v>825</v>
      </c>
      <c r="D336" s="10" t="str">
        <f aca="false">IF(C336="","",IFERROR(INDEX(NIVEL!$B:$B,MATCH(C336,NIVEL!$A:$A,0)),"¡Código no existe!"))</f>
        <v>Tee A.G. SCH-40</v>
      </c>
      <c r="E336" s="10" t="str">
        <f aca="false">IF(C336="","",IFERROR(INDEX(NIVEL!$C:$C,MATCH(C336,NIVEL!$A:$A,0)),""))</f>
        <v>Un.</v>
      </c>
      <c r="F336" s="10" t="s">
        <v>1018</v>
      </c>
      <c r="G336" s="10" t="n">
        <f aca="false">IFERROR(MATCH(F336,LISTAS!$D$2:$D$22,0),99)</f>
        <v>19</v>
      </c>
      <c r="H336" s="13" t="n">
        <v>4</v>
      </c>
      <c r="I336" s="10" t="s">
        <v>1110</v>
      </c>
      <c r="J336" s="10" t="s">
        <v>1111</v>
      </c>
      <c r="K336" s="10" t="s">
        <v>1112</v>
      </c>
      <c r="L336" s="10"/>
      <c r="M336" s="10" t="str">
        <f aca="false">IF(C336="","SIN ASIGNAR","ASIGNADO")</f>
        <v>ASIGNADO</v>
      </c>
      <c r="N336" s="10" t="s">
        <v>991</v>
      </c>
    </row>
    <row r="337" customFormat="false" ht="15" hidden="false" customHeight="false" outlineLevel="0" collapsed="false">
      <c r="A337" s="10" t="n">
        <v>332</v>
      </c>
      <c r="B337" s="10" t="s">
        <v>25</v>
      </c>
      <c r="C337" s="8" t="s">
        <v>837</v>
      </c>
      <c r="D337" s="10" t="str">
        <f aca="false">IF(C337="","",IFERROR(INDEX(NIVEL!$B:$B,MATCH(C337,NIVEL!$A:$A,0)),"¡Código no existe!"))</f>
        <v>Transición / reducción A.G. SCH-40</v>
      </c>
      <c r="E337" s="10" t="str">
        <f aca="false">IF(C337="","",IFERROR(INDEX(NIVEL!$C:$C,MATCH(C337,NIVEL!$A:$A,0)),""))</f>
        <v>Un.</v>
      </c>
      <c r="F337" s="10" t="s">
        <v>987</v>
      </c>
      <c r="G337" s="10" t="n">
        <f aca="false">IFERROR(MATCH(F337,LISTAS!$D$2:$D$22,0),99)</f>
        <v>1</v>
      </c>
      <c r="H337" s="13" t="n">
        <v>2</v>
      </c>
      <c r="I337" s="10" t="s">
        <v>1113</v>
      </c>
      <c r="J337" s="10" t="s">
        <v>1114</v>
      </c>
      <c r="K337" s="10" t="s">
        <v>1084</v>
      </c>
      <c r="L337" s="10"/>
      <c r="M337" s="10" t="str">
        <f aca="false">IF(C337="","SIN ASIGNAR","ASIGNADO")</f>
        <v>ASIGNADO</v>
      </c>
      <c r="N337" s="10" t="s">
        <v>991</v>
      </c>
    </row>
    <row r="338" customFormat="false" ht="15" hidden="false" customHeight="false" outlineLevel="0" collapsed="false">
      <c r="A338" s="10" t="n">
        <v>333</v>
      </c>
      <c r="B338" s="10" t="s">
        <v>25</v>
      </c>
      <c r="C338" s="8" t="s">
        <v>837</v>
      </c>
      <c r="D338" s="10" t="str">
        <f aca="false">IF(C338="","",IFERROR(INDEX(NIVEL!$B:$B,MATCH(C338,NIVEL!$A:$A,0)),"¡Código no existe!"))</f>
        <v>Transición / reducción A.G. SCH-40</v>
      </c>
      <c r="E338" s="10" t="str">
        <f aca="false">IF(C338="","",IFERROR(INDEX(NIVEL!$C:$C,MATCH(C338,NIVEL!$A:$A,0)),""))</f>
        <v>Un.</v>
      </c>
      <c r="F338" s="10" t="s">
        <v>1018</v>
      </c>
      <c r="G338" s="10" t="n">
        <f aca="false">IFERROR(MATCH(F338,LISTAS!$D$2:$D$22,0),99)</f>
        <v>19</v>
      </c>
      <c r="H338" s="13" t="n">
        <v>1</v>
      </c>
      <c r="I338" s="10" t="s">
        <v>1113</v>
      </c>
      <c r="J338" s="10" t="s">
        <v>1114</v>
      </c>
      <c r="K338" s="10" t="s">
        <v>1084</v>
      </c>
      <c r="L338" s="10"/>
      <c r="M338" s="10" t="str">
        <f aca="false">IF(C338="","SIN ASIGNAR","ASIGNADO")</f>
        <v>ASIGNADO</v>
      </c>
      <c r="N338" s="10" t="s">
        <v>991</v>
      </c>
    </row>
    <row r="339" customFormat="false" ht="15" hidden="false" customHeight="false" outlineLevel="0" collapsed="false">
      <c r="A339" s="10" t="n">
        <v>334</v>
      </c>
      <c r="B339" s="10" t="s">
        <v>25</v>
      </c>
      <c r="C339" s="8" t="s">
        <v>837</v>
      </c>
      <c r="D339" s="10" t="str">
        <f aca="false">IF(C339="","",IFERROR(INDEX(NIVEL!$B:$B,MATCH(C339,NIVEL!$A:$A,0)),"¡Código no existe!"))</f>
        <v>Transición / reducción A.G. SCH-40</v>
      </c>
      <c r="E339" s="10" t="str">
        <f aca="false">IF(C339="","",IFERROR(INDEX(NIVEL!$C:$C,MATCH(C339,NIVEL!$A:$A,0)),""))</f>
        <v>Un.</v>
      </c>
      <c r="F339" s="10" t="s">
        <v>1018</v>
      </c>
      <c r="G339" s="10" t="n">
        <f aca="false">IFERROR(MATCH(F339,LISTAS!$D$2:$D$22,0),99)</f>
        <v>19</v>
      </c>
      <c r="H339" s="13" t="n">
        <v>1</v>
      </c>
      <c r="I339" s="10" t="s">
        <v>1113</v>
      </c>
      <c r="J339" s="10" t="s">
        <v>1114</v>
      </c>
      <c r="K339" s="10" t="s">
        <v>1084</v>
      </c>
      <c r="L339" s="10"/>
      <c r="M339" s="10" t="str">
        <f aca="false">IF(C339="","SIN ASIGNAR","ASIGNADO")</f>
        <v>ASIGNADO</v>
      </c>
      <c r="N339" s="10" t="s">
        <v>991</v>
      </c>
    </row>
    <row r="340" customFormat="false" ht="15" hidden="false" customHeight="false" outlineLevel="0" collapsed="false">
      <c r="A340" s="10" t="n">
        <v>335</v>
      </c>
      <c r="B340" s="10" t="s">
        <v>25</v>
      </c>
      <c r="C340" s="8" t="s">
        <v>833</v>
      </c>
      <c r="D340" s="10" t="str">
        <f aca="false">IF(C340="","",IFERROR(INDEX(NIVEL!$B:$B,MATCH(C340,NIVEL!$A:$A,0)),"¡Código no existe!"))</f>
        <v>Unión A.G. SCH-40</v>
      </c>
      <c r="E340" s="10" t="str">
        <f aca="false">IF(C340="","",IFERROR(INDEX(NIVEL!$C:$C,MATCH(C340,NIVEL!$A:$A,0)),""))</f>
        <v>Un.</v>
      </c>
      <c r="F340" s="10" t="s">
        <v>1018</v>
      </c>
      <c r="G340" s="10" t="n">
        <f aca="false">IFERROR(MATCH(F340,LISTAS!$D$2:$D$22,0),99)</f>
        <v>19</v>
      </c>
      <c r="H340" s="13" t="n">
        <v>2</v>
      </c>
      <c r="I340" s="10" t="s">
        <v>1115</v>
      </c>
      <c r="J340" s="10" t="s">
        <v>1116</v>
      </c>
      <c r="K340" s="10" t="s">
        <v>1021</v>
      </c>
      <c r="L340" s="10"/>
      <c r="M340" s="10" t="str">
        <f aca="false">IF(C340="","SIN ASIGNAR","ASIGNADO")</f>
        <v>ASIGNADO</v>
      </c>
      <c r="N340" s="10" t="s">
        <v>991</v>
      </c>
    </row>
    <row r="341" customFormat="false" ht="15" hidden="false" customHeight="false" outlineLevel="0" collapsed="false">
      <c r="A341" s="10" t="n">
        <v>336</v>
      </c>
      <c r="B341" s="10" t="s">
        <v>25</v>
      </c>
      <c r="C341" s="8" t="s">
        <v>727</v>
      </c>
      <c r="D341" s="10" t="str">
        <f aca="false">IF(C341="","",IFERROR(INDEX(NIVEL!$B:$B,MATCH(C341,NIVEL!$A:$A,0)),"¡Código no existe!"))</f>
        <v>Pasante en muro contencion 6"</v>
      </c>
      <c r="E341" s="10" t="str">
        <f aca="false">IF(C341="","",IFERROR(INDEX(NIVEL!$C:$C,MATCH(C341,NIVEL!$A:$A,0)),""))</f>
        <v>Un.</v>
      </c>
      <c r="F341" s="10" t="s">
        <v>987</v>
      </c>
      <c r="G341" s="10" t="n">
        <f aca="false">IFERROR(MATCH(F341,LISTAS!$D$2:$D$22,0),99)</f>
        <v>1</v>
      </c>
      <c r="H341" s="13" t="n">
        <v>1</v>
      </c>
      <c r="I341" s="10" t="s">
        <v>1117</v>
      </c>
      <c r="J341" s="10" t="s">
        <v>1118</v>
      </c>
      <c r="K341" s="10" t="s">
        <v>1001</v>
      </c>
      <c r="L341" s="10"/>
      <c r="M341" s="10" t="str">
        <f aca="false">IF(C341="","SIN ASIGNAR","ASIGNADO")</f>
        <v>ASIGNADO</v>
      </c>
      <c r="N341" s="10" t="s">
        <v>995</v>
      </c>
    </row>
    <row r="342" customFormat="false" ht="15" hidden="false" customHeight="false" outlineLevel="0" collapsed="false">
      <c r="A342" s="10" t="n">
        <v>337</v>
      </c>
      <c r="B342" s="10" t="s">
        <v>25</v>
      </c>
      <c r="C342" s="8" t="s">
        <v>756</v>
      </c>
      <c r="D342" s="10" t="str">
        <f aca="false">IF(C342="","",IFERROR(INDEX(NIVEL!$B:$B,MATCH(C342,NIVEL!$A:$A,0)),"¡Código no existe!"))</f>
        <v>Sello intumescente 4"</v>
      </c>
      <c r="E342" s="10" t="str">
        <f aca="false">IF(C342="","",IFERROR(INDEX(NIVEL!$C:$C,MATCH(C342,NIVEL!$A:$A,0)),""))</f>
        <v>Un.</v>
      </c>
      <c r="F342" s="10" t="s">
        <v>1014</v>
      </c>
      <c r="G342" s="10" t="n">
        <f aca="false">IFERROR(MATCH(F342,LISTAS!$D$2:$D$22,0),99)</f>
        <v>7</v>
      </c>
      <c r="H342" s="13" t="n">
        <v>1</v>
      </c>
      <c r="I342" s="10" t="s">
        <v>1119</v>
      </c>
      <c r="J342" s="10" t="s">
        <v>1120</v>
      </c>
      <c r="K342" s="10" t="s">
        <v>1016</v>
      </c>
      <c r="L342" s="10"/>
      <c r="M342" s="10" t="str">
        <f aca="false">IF(C342="","SIN ASIGNAR","ASIGNADO")</f>
        <v>ASIGNADO</v>
      </c>
      <c r="N342" s="10" t="s">
        <v>995</v>
      </c>
    </row>
    <row r="343" customFormat="false" ht="15" hidden="false" customHeight="false" outlineLevel="0" collapsed="false">
      <c r="A343" s="10" t="n">
        <v>338</v>
      </c>
      <c r="B343" s="10" t="s">
        <v>25</v>
      </c>
      <c r="C343" s="8" t="s">
        <v>754</v>
      </c>
      <c r="D343" s="10" t="str">
        <f aca="false">IF(C343="","",IFERROR(INDEX(NIVEL!$B:$B,MATCH(C343,NIVEL!$A:$A,0)),"¡Código no existe!"))</f>
        <v>Sello intumescente 1-1/2"</v>
      </c>
      <c r="E343" s="10" t="str">
        <f aca="false">IF(C343="","",IFERROR(INDEX(NIVEL!$C:$C,MATCH(C343,NIVEL!$A:$A,0)),""))</f>
        <v>Un.</v>
      </c>
      <c r="F343" s="10" t="s">
        <v>1017</v>
      </c>
      <c r="G343" s="10" t="n">
        <f aca="false">IFERROR(MATCH(F343,LISTAS!$D$2:$D$22,0),99)</f>
        <v>8</v>
      </c>
      <c r="H343" s="13" t="n">
        <v>2</v>
      </c>
      <c r="I343" s="10" t="s">
        <v>1119</v>
      </c>
      <c r="J343" s="10" t="s">
        <v>1120</v>
      </c>
      <c r="K343" s="10" t="s">
        <v>1109</v>
      </c>
      <c r="L343" s="10"/>
      <c r="M343" s="10" t="str">
        <f aca="false">IF(C343="","SIN ASIGNAR","ASIGNADO")</f>
        <v>ASIGNADO</v>
      </c>
      <c r="N343" s="10" t="s">
        <v>995</v>
      </c>
    </row>
    <row r="344" customFormat="false" ht="15" hidden="false" customHeight="false" outlineLevel="0" collapsed="false">
      <c r="A344" s="10" t="n">
        <v>339</v>
      </c>
      <c r="B344" s="10" t="s">
        <v>25</v>
      </c>
      <c r="C344" s="8" t="s">
        <v>754</v>
      </c>
      <c r="D344" s="10" t="str">
        <f aca="false">IF(C344="","",IFERROR(INDEX(NIVEL!$B:$B,MATCH(C344,NIVEL!$A:$A,0)),"¡Código no existe!"))</f>
        <v>Sello intumescente 1-1/2"</v>
      </c>
      <c r="E344" s="10" t="str">
        <f aca="false">IF(C344="","",IFERROR(INDEX(NIVEL!$C:$C,MATCH(C344,NIVEL!$A:$A,0)),""))</f>
        <v>Un.</v>
      </c>
      <c r="F344" s="10" t="s">
        <v>1049</v>
      </c>
      <c r="G344" s="10" t="n">
        <f aca="false">IFERROR(MATCH(F344,LISTAS!$D$2:$D$22,0),99)</f>
        <v>9</v>
      </c>
      <c r="H344" s="13" t="n">
        <v>2</v>
      </c>
      <c r="I344" s="10" t="s">
        <v>1119</v>
      </c>
      <c r="J344" s="10" t="s">
        <v>1120</v>
      </c>
      <c r="K344" s="10" t="s">
        <v>1109</v>
      </c>
      <c r="L344" s="10"/>
      <c r="M344" s="10" t="str">
        <f aca="false">IF(C344="","SIN ASIGNAR","ASIGNADO")</f>
        <v>ASIGNADO</v>
      </c>
      <c r="N344" s="10" t="s">
        <v>995</v>
      </c>
    </row>
    <row r="345" customFormat="false" ht="15" hidden="false" customHeight="false" outlineLevel="0" collapsed="false">
      <c r="A345" s="10" t="n">
        <v>340</v>
      </c>
      <c r="B345" s="10" t="s">
        <v>25</v>
      </c>
      <c r="C345" s="8" t="s">
        <v>754</v>
      </c>
      <c r="D345" s="10" t="str">
        <f aca="false">IF(C345="","",IFERROR(INDEX(NIVEL!$B:$B,MATCH(C345,NIVEL!$A:$A,0)),"¡Código no existe!"))</f>
        <v>Sello intumescente 1-1/2"</v>
      </c>
      <c r="E345" s="10" t="str">
        <f aca="false">IF(C345="","",IFERROR(INDEX(NIVEL!$C:$C,MATCH(C345,NIVEL!$A:$A,0)),""))</f>
        <v>Un.</v>
      </c>
      <c r="F345" s="10" t="s">
        <v>1050</v>
      </c>
      <c r="G345" s="10" t="n">
        <f aca="false">IFERROR(MATCH(F345,LISTAS!$D$2:$D$22,0),99)</f>
        <v>10</v>
      </c>
      <c r="H345" s="13" t="n">
        <v>2</v>
      </c>
      <c r="I345" s="10" t="s">
        <v>1119</v>
      </c>
      <c r="J345" s="10" t="s">
        <v>1120</v>
      </c>
      <c r="K345" s="10" t="s">
        <v>1109</v>
      </c>
      <c r="L345" s="10"/>
      <c r="M345" s="10" t="str">
        <f aca="false">IF(C345="","SIN ASIGNAR","ASIGNADO")</f>
        <v>ASIGNADO</v>
      </c>
      <c r="N345" s="10" t="s">
        <v>995</v>
      </c>
    </row>
    <row r="346" customFormat="false" ht="15" hidden="false" customHeight="false" outlineLevel="0" collapsed="false">
      <c r="A346" s="10" t="n">
        <v>341</v>
      </c>
      <c r="B346" s="10" t="s">
        <v>25</v>
      </c>
      <c r="C346" s="8" t="s">
        <v>754</v>
      </c>
      <c r="D346" s="10" t="str">
        <f aca="false">IF(C346="","",IFERROR(INDEX(NIVEL!$B:$B,MATCH(C346,NIVEL!$A:$A,0)),"¡Código no existe!"))</f>
        <v>Sello intumescente 1-1/2"</v>
      </c>
      <c r="E346" s="10" t="str">
        <f aca="false">IF(C346="","",IFERROR(INDEX(NIVEL!$C:$C,MATCH(C346,NIVEL!$A:$A,0)),""))</f>
        <v>Un.</v>
      </c>
      <c r="F346" s="10" t="s">
        <v>1051</v>
      </c>
      <c r="G346" s="10" t="n">
        <f aca="false">IFERROR(MATCH(F346,LISTAS!$D$2:$D$22,0),99)</f>
        <v>11</v>
      </c>
      <c r="H346" s="13" t="n">
        <v>2</v>
      </c>
      <c r="I346" s="10" t="s">
        <v>1119</v>
      </c>
      <c r="J346" s="10" t="s">
        <v>1120</v>
      </c>
      <c r="K346" s="10" t="s">
        <v>1109</v>
      </c>
      <c r="L346" s="10"/>
      <c r="M346" s="10" t="str">
        <f aca="false">IF(C346="","SIN ASIGNAR","ASIGNADO")</f>
        <v>ASIGNADO</v>
      </c>
      <c r="N346" s="10" t="s">
        <v>995</v>
      </c>
    </row>
    <row r="347" customFormat="false" ht="15" hidden="false" customHeight="false" outlineLevel="0" collapsed="false">
      <c r="A347" s="10" t="n">
        <v>342</v>
      </c>
      <c r="B347" s="10" t="s">
        <v>25</v>
      </c>
      <c r="C347" s="8" t="s">
        <v>754</v>
      </c>
      <c r="D347" s="10" t="str">
        <f aca="false">IF(C347="","",IFERROR(INDEX(NIVEL!$B:$B,MATCH(C347,NIVEL!$A:$A,0)),"¡Código no existe!"))</f>
        <v>Sello intumescente 1-1/2"</v>
      </c>
      <c r="E347" s="10" t="str">
        <f aca="false">IF(C347="","",IFERROR(INDEX(NIVEL!$C:$C,MATCH(C347,NIVEL!$A:$A,0)),""))</f>
        <v>Un.</v>
      </c>
      <c r="F347" s="10" t="s">
        <v>1052</v>
      </c>
      <c r="G347" s="10" t="n">
        <f aca="false">IFERROR(MATCH(F347,LISTAS!$D$2:$D$22,0),99)</f>
        <v>12</v>
      </c>
      <c r="H347" s="13" t="n">
        <v>2</v>
      </c>
      <c r="I347" s="10" t="s">
        <v>1119</v>
      </c>
      <c r="J347" s="10" t="s">
        <v>1120</v>
      </c>
      <c r="K347" s="10" t="s">
        <v>1109</v>
      </c>
      <c r="L347" s="10"/>
      <c r="M347" s="10" t="str">
        <f aca="false">IF(C347="","SIN ASIGNAR","ASIGNADO")</f>
        <v>ASIGNADO</v>
      </c>
      <c r="N347" s="10" t="s">
        <v>995</v>
      </c>
    </row>
    <row r="348" customFormat="false" ht="15" hidden="false" customHeight="false" outlineLevel="0" collapsed="false">
      <c r="A348" s="10" t="n">
        <v>343</v>
      </c>
      <c r="B348" s="10" t="s">
        <v>25</v>
      </c>
      <c r="C348" s="8" t="s">
        <v>754</v>
      </c>
      <c r="D348" s="10" t="str">
        <f aca="false">IF(C348="","",IFERROR(INDEX(NIVEL!$B:$B,MATCH(C348,NIVEL!$A:$A,0)),"¡Código no existe!"))</f>
        <v>Sello intumescente 1-1/2"</v>
      </c>
      <c r="E348" s="10" t="str">
        <f aca="false">IF(C348="","",IFERROR(INDEX(NIVEL!$C:$C,MATCH(C348,NIVEL!$A:$A,0)),""))</f>
        <v>Un.</v>
      </c>
      <c r="F348" s="10" t="s">
        <v>1053</v>
      </c>
      <c r="G348" s="10" t="n">
        <f aca="false">IFERROR(MATCH(F348,LISTAS!$D$2:$D$22,0),99)</f>
        <v>13</v>
      </c>
      <c r="H348" s="13" t="n">
        <v>2</v>
      </c>
      <c r="I348" s="10" t="s">
        <v>1119</v>
      </c>
      <c r="J348" s="10" t="s">
        <v>1120</v>
      </c>
      <c r="K348" s="10" t="s">
        <v>1109</v>
      </c>
      <c r="L348" s="10"/>
      <c r="M348" s="10" t="str">
        <f aca="false">IF(C348="","SIN ASIGNAR","ASIGNADO")</f>
        <v>ASIGNADO</v>
      </c>
      <c r="N348" s="10" t="s">
        <v>995</v>
      </c>
    </row>
    <row r="349" customFormat="false" ht="15" hidden="false" customHeight="false" outlineLevel="0" collapsed="false">
      <c r="A349" s="10" t="n">
        <v>344</v>
      </c>
      <c r="B349" s="10" t="s">
        <v>25</v>
      </c>
      <c r="C349" s="8" t="s">
        <v>754</v>
      </c>
      <c r="D349" s="10" t="str">
        <f aca="false">IF(C349="","",IFERROR(INDEX(NIVEL!$B:$B,MATCH(C349,NIVEL!$A:$A,0)),"¡Código no existe!"))</f>
        <v>Sello intumescente 1-1/2"</v>
      </c>
      <c r="E349" s="10" t="str">
        <f aca="false">IF(C349="","",IFERROR(INDEX(NIVEL!$C:$C,MATCH(C349,NIVEL!$A:$A,0)),""))</f>
        <v>Un.</v>
      </c>
      <c r="F349" s="10" t="s">
        <v>1054</v>
      </c>
      <c r="G349" s="10" t="n">
        <f aca="false">IFERROR(MATCH(F349,LISTAS!$D$2:$D$22,0),99)</f>
        <v>14</v>
      </c>
      <c r="H349" s="13" t="n">
        <v>2</v>
      </c>
      <c r="I349" s="10" t="s">
        <v>1119</v>
      </c>
      <c r="J349" s="10" t="s">
        <v>1120</v>
      </c>
      <c r="K349" s="10" t="s">
        <v>1109</v>
      </c>
      <c r="L349" s="10"/>
      <c r="M349" s="10" t="str">
        <f aca="false">IF(C349="","SIN ASIGNAR","ASIGNADO")</f>
        <v>ASIGNADO</v>
      </c>
      <c r="N349" s="10" t="s">
        <v>995</v>
      </c>
    </row>
    <row r="350" customFormat="false" ht="15" hidden="false" customHeight="false" outlineLevel="0" collapsed="false">
      <c r="A350" s="10" t="n">
        <v>345</v>
      </c>
      <c r="B350" s="10" t="s">
        <v>25</v>
      </c>
      <c r="C350" s="8" t="s">
        <v>754</v>
      </c>
      <c r="D350" s="10" t="str">
        <f aca="false">IF(C350="","",IFERROR(INDEX(NIVEL!$B:$B,MATCH(C350,NIVEL!$A:$A,0)),"¡Código no existe!"))</f>
        <v>Sello intumescente 1-1/2"</v>
      </c>
      <c r="E350" s="10" t="str">
        <f aca="false">IF(C350="","",IFERROR(INDEX(NIVEL!$C:$C,MATCH(C350,NIVEL!$A:$A,0)),""))</f>
        <v>Un.</v>
      </c>
      <c r="F350" s="10" t="s">
        <v>1055</v>
      </c>
      <c r="G350" s="10" t="n">
        <f aca="false">IFERROR(MATCH(F350,LISTAS!$D$2:$D$22,0),99)</f>
        <v>15</v>
      </c>
      <c r="H350" s="13" t="n">
        <v>2</v>
      </c>
      <c r="I350" s="10" t="s">
        <v>1119</v>
      </c>
      <c r="J350" s="10" t="s">
        <v>1120</v>
      </c>
      <c r="K350" s="10" t="s">
        <v>1109</v>
      </c>
      <c r="L350" s="10"/>
      <c r="M350" s="10" t="str">
        <f aca="false">IF(C350="","SIN ASIGNAR","ASIGNADO")</f>
        <v>ASIGNADO</v>
      </c>
      <c r="N350" s="10" t="s">
        <v>995</v>
      </c>
    </row>
    <row r="351" customFormat="false" ht="15" hidden="false" customHeight="false" outlineLevel="0" collapsed="false">
      <c r="A351" s="10" t="n">
        <v>346</v>
      </c>
      <c r="B351" s="10" t="s">
        <v>25</v>
      </c>
      <c r="C351" s="8" t="s">
        <v>754</v>
      </c>
      <c r="D351" s="10" t="str">
        <f aca="false">IF(C351="","",IFERROR(INDEX(NIVEL!$B:$B,MATCH(C351,NIVEL!$A:$A,0)),"¡Código no existe!"))</f>
        <v>Sello intumescente 1-1/2"</v>
      </c>
      <c r="E351" s="10" t="str">
        <f aca="false">IF(C351="","",IFERROR(INDEX(NIVEL!$C:$C,MATCH(C351,NIVEL!$A:$A,0)),""))</f>
        <v>Un.</v>
      </c>
      <c r="F351" s="10" t="s">
        <v>1056</v>
      </c>
      <c r="G351" s="10" t="n">
        <f aca="false">IFERROR(MATCH(F351,LISTAS!$D$2:$D$22,0),99)</f>
        <v>16</v>
      </c>
      <c r="H351" s="13" t="n">
        <v>2</v>
      </c>
      <c r="I351" s="10" t="s">
        <v>1119</v>
      </c>
      <c r="J351" s="10" t="s">
        <v>1120</v>
      </c>
      <c r="K351" s="10" t="s">
        <v>1109</v>
      </c>
      <c r="L351" s="10"/>
      <c r="M351" s="10" t="str">
        <f aca="false">IF(C351="","SIN ASIGNAR","ASIGNADO")</f>
        <v>ASIGNADO</v>
      </c>
      <c r="N351" s="10" t="s">
        <v>995</v>
      </c>
    </row>
    <row r="352" customFormat="false" ht="15" hidden="false" customHeight="false" outlineLevel="0" collapsed="false">
      <c r="A352" s="10" t="n">
        <v>347</v>
      </c>
      <c r="B352" s="10" t="s">
        <v>25</v>
      </c>
      <c r="C352" s="8" t="s">
        <v>754</v>
      </c>
      <c r="D352" s="10" t="str">
        <f aca="false">IF(C352="","",IFERROR(INDEX(NIVEL!$B:$B,MATCH(C352,NIVEL!$A:$A,0)),"¡Código no existe!"))</f>
        <v>Sello intumescente 1-1/2"</v>
      </c>
      <c r="E352" s="10" t="str">
        <f aca="false">IF(C352="","",IFERROR(INDEX(NIVEL!$C:$C,MATCH(C352,NIVEL!$A:$A,0)),""))</f>
        <v>Un.</v>
      </c>
      <c r="F352" s="10" t="s">
        <v>1057</v>
      </c>
      <c r="G352" s="10" t="n">
        <f aca="false">IFERROR(MATCH(F352,LISTAS!$D$2:$D$22,0),99)</f>
        <v>17</v>
      </c>
      <c r="H352" s="13" t="n">
        <v>2</v>
      </c>
      <c r="I352" s="10" t="s">
        <v>1119</v>
      </c>
      <c r="J352" s="10" t="s">
        <v>1120</v>
      </c>
      <c r="K352" s="10" t="s">
        <v>1109</v>
      </c>
      <c r="L352" s="10"/>
      <c r="M352" s="10" t="str">
        <f aca="false">IF(C352="","SIN ASIGNAR","ASIGNADO")</f>
        <v>ASIGNADO</v>
      </c>
      <c r="N352" s="10" t="s">
        <v>995</v>
      </c>
    </row>
    <row r="353" customFormat="false" ht="15" hidden="false" customHeight="false" outlineLevel="0" collapsed="false">
      <c r="A353" s="10" t="n">
        <v>348</v>
      </c>
      <c r="B353" s="10" t="s">
        <v>25</v>
      </c>
      <c r="C353" s="8" t="s">
        <v>754</v>
      </c>
      <c r="D353" s="10" t="str">
        <f aca="false">IF(C353="","",IFERROR(INDEX(NIVEL!$B:$B,MATCH(C353,NIVEL!$A:$A,0)),"¡Código no existe!"))</f>
        <v>Sello intumescente 1-1/2"</v>
      </c>
      <c r="E353" s="10" t="str">
        <f aca="false">IF(C353="","",IFERROR(INDEX(NIVEL!$C:$C,MATCH(C353,NIVEL!$A:$A,0)),""))</f>
        <v>Un.</v>
      </c>
      <c r="F353" s="10" t="s">
        <v>1058</v>
      </c>
      <c r="G353" s="10" t="n">
        <f aca="false">IFERROR(MATCH(F353,LISTAS!$D$2:$D$22,0),99)</f>
        <v>18</v>
      </c>
      <c r="H353" s="13" t="n">
        <v>2</v>
      </c>
      <c r="I353" s="10" t="s">
        <v>1119</v>
      </c>
      <c r="J353" s="10" t="s">
        <v>1120</v>
      </c>
      <c r="K353" s="10" t="s">
        <v>1109</v>
      </c>
      <c r="L353" s="10"/>
      <c r="M353" s="10" t="str">
        <f aca="false">IF(C353="","SIN ASIGNAR","ASIGNADO")</f>
        <v>ASIGNADO</v>
      </c>
      <c r="N353" s="10" t="s">
        <v>995</v>
      </c>
    </row>
    <row r="354" customFormat="false" ht="15" hidden="false" customHeight="false" outlineLevel="0" collapsed="false">
      <c r="A354" s="10" t="n">
        <v>349</v>
      </c>
      <c r="B354" s="10" t="s">
        <v>25</v>
      </c>
      <c r="C354" s="8" t="s">
        <v>754</v>
      </c>
      <c r="D354" s="10" t="str">
        <f aca="false">IF(C354="","",IFERROR(INDEX(NIVEL!$B:$B,MATCH(C354,NIVEL!$A:$A,0)),"¡Código no existe!"))</f>
        <v>Sello intumescente 1-1/2"</v>
      </c>
      <c r="E354" s="10" t="str">
        <f aca="false">IF(C354="","",IFERROR(INDEX(NIVEL!$C:$C,MATCH(C354,NIVEL!$A:$A,0)),""))</f>
        <v>Un.</v>
      </c>
      <c r="F354" s="10" t="s">
        <v>1018</v>
      </c>
      <c r="G354" s="10" t="n">
        <f aca="false">IFERROR(MATCH(F354,LISTAS!$D$2:$D$22,0),99)</f>
        <v>19</v>
      </c>
      <c r="H354" s="13" t="n">
        <v>2</v>
      </c>
      <c r="I354" s="10" t="s">
        <v>1119</v>
      </c>
      <c r="J354" s="10" t="s">
        <v>1120</v>
      </c>
      <c r="K354" s="10" t="s">
        <v>1109</v>
      </c>
      <c r="L354" s="10"/>
      <c r="M354" s="10" t="str">
        <f aca="false">IF(C354="","SIN ASIGNAR","ASIGNADO")</f>
        <v>ASIGNADO</v>
      </c>
      <c r="N354" s="10" t="s">
        <v>995</v>
      </c>
    </row>
    <row r="355" customFormat="false" ht="15" hidden="false" customHeight="false" outlineLevel="0" collapsed="false">
      <c r="A355" s="10" t="n">
        <v>350</v>
      </c>
      <c r="B355" s="10" t="s">
        <v>25</v>
      </c>
      <c r="C355" s="8" t="s">
        <v>754</v>
      </c>
      <c r="D355" s="10" t="str">
        <f aca="false">IF(C355="","",IFERROR(INDEX(NIVEL!$B:$B,MATCH(C355,NIVEL!$A:$A,0)),"¡Código no existe!"))</f>
        <v>Sello intumescente 1-1/2"</v>
      </c>
      <c r="E355" s="10" t="str">
        <f aca="false">IF(C355="","",IFERROR(INDEX(NIVEL!$C:$C,MATCH(C355,NIVEL!$A:$A,0)),""))</f>
        <v>Un.</v>
      </c>
      <c r="F355" s="10" t="s">
        <v>1022</v>
      </c>
      <c r="G355" s="10" t="n">
        <f aca="false">IFERROR(MATCH(F355,LISTAS!$D$2:$D$22,0),99)</f>
        <v>20</v>
      </c>
      <c r="H355" s="13" t="n">
        <v>2</v>
      </c>
      <c r="I355" s="10" t="s">
        <v>1119</v>
      </c>
      <c r="J355" s="10" t="s">
        <v>1120</v>
      </c>
      <c r="K355" s="10" t="s">
        <v>1109</v>
      </c>
      <c r="L355" s="10"/>
      <c r="M355" s="10" t="str">
        <f aca="false">IF(C355="","SIN ASIGNAR","ASIGNADO")</f>
        <v>ASIGNADO</v>
      </c>
      <c r="N355" s="10" t="s">
        <v>995</v>
      </c>
    </row>
    <row r="356" customFormat="false" ht="15" hidden="false" customHeight="false" outlineLevel="0" collapsed="false">
      <c r="A356" s="10" t="n">
        <v>351</v>
      </c>
      <c r="B356" s="10" t="s">
        <v>25</v>
      </c>
      <c r="C356" s="8" t="s">
        <v>797</v>
      </c>
      <c r="D356" s="10" t="str">
        <f aca="false">IF(C356="","",IFERROR(INDEX(NIVEL!$B:$B,MATCH(C356,NIVEL!$A:$A,0)),"¡Código no existe!"))</f>
        <v>Salida ranurada Tubasys RAL3000 D=1-1/2"</v>
      </c>
      <c r="E356" s="10" t="str">
        <f aca="false">IF(C356="","",IFERROR(INDEX(NIVEL!$C:$C,MATCH(C356,NIVEL!$A:$A,0)),""))</f>
        <v>Un.</v>
      </c>
      <c r="F356" s="10" t="s">
        <v>987</v>
      </c>
      <c r="G356" s="10" t="n">
        <f aca="false">IFERROR(MATCH(F356,LISTAS!$D$2:$D$22,0),99)</f>
        <v>1</v>
      </c>
      <c r="H356" s="13" t="n">
        <v>1</v>
      </c>
      <c r="I356" s="10" t="s">
        <v>1121</v>
      </c>
      <c r="J356" s="10"/>
      <c r="K356" s="10" t="s">
        <v>1109</v>
      </c>
      <c r="L356" s="10"/>
      <c r="M356" s="10" t="str">
        <f aca="false">IF(C356="","SIN ASIGNAR","ASIGNADO")</f>
        <v>ASIGNADO</v>
      </c>
      <c r="N356" s="10" t="s">
        <v>991</v>
      </c>
    </row>
    <row r="357" customFormat="false" ht="15" hidden="false" customHeight="false" outlineLevel="0" collapsed="false">
      <c r="A357" s="10" t="n">
        <v>352</v>
      </c>
      <c r="B357" s="10" t="s">
        <v>25</v>
      </c>
      <c r="C357" s="8" t="s">
        <v>797</v>
      </c>
      <c r="D357" s="10" t="str">
        <f aca="false">IF(C357="","",IFERROR(INDEX(NIVEL!$B:$B,MATCH(C357,NIVEL!$A:$A,0)),"¡Código no existe!"))</f>
        <v>Salida ranurada Tubasys RAL3000 D=1-1/2"</v>
      </c>
      <c r="E357" s="10" t="str">
        <f aca="false">IF(C357="","",IFERROR(INDEX(NIVEL!$C:$C,MATCH(C357,NIVEL!$A:$A,0)),""))</f>
        <v>Un.</v>
      </c>
      <c r="F357" s="10" t="s">
        <v>1031</v>
      </c>
      <c r="G357" s="10" t="n">
        <f aca="false">IFERROR(MATCH(F357,LISTAS!$D$2:$D$22,0),99)</f>
        <v>2</v>
      </c>
      <c r="H357" s="13" t="n">
        <v>1</v>
      </c>
      <c r="I357" s="10" t="s">
        <v>1121</v>
      </c>
      <c r="J357" s="10"/>
      <c r="K357" s="10" t="s">
        <v>1109</v>
      </c>
      <c r="L357" s="10"/>
      <c r="M357" s="10" t="str">
        <f aca="false">IF(C357="","SIN ASIGNAR","ASIGNADO")</f>
        <v>ASIGNADO</v>
      </c>
      <c r="N357" s="10" t="s">
        <v>991</v>
      </c>
    </row>
    <row r="358" customFormat="false" ht="15" hidden="false" customHeight="false" outlineLevel="0" collapsed="false">
      <c r="A358" s="10" t="n">
        <v>353</v>
      </c>
      <c r="B358" s="10" t="s">
        <v>25</v>
      </c>
      <c r="C358" s="8" t="s">
        <v>797</v>
      </c>
      <c r="D358" s="10" t="str">
        <f aca="false">IF(C358="","",IFERROR(INDEX(NIVEL!$B:$B,MATCH(C358,NIVEL!$A:$A,0)),"¡Código no existe!"))</f>
        <v>Salida ranurada Tubasys RAL3000 D=1-1/2"</v>
      </c>
      <c r="E358" s="10" t="str">
        <f aca="false">IF(C358="","",IFERROR(INDEX(NIVEL!$C:$C,MATCH(C358,NIVEL!$A:$A,0)),""))</f>
        <v>Un.</v>
      </c>
      <c r="F358" s="10" t="s">
        <v>1008</v>
      </c>
      <c r="G358" s="10" t="n">
        <f aca="false">IFERROR(MATCH(F358,LISTAS!$D$2:$D$22,0),99)</f>
        <v>3</v>
      </c>
      <c r="H358" s="13" t="n">
        <v>1</v>
      </c>
      <c r="I358" s="10" t="s">
        <v>1121</v>
      </c>
      <c r="J358" s="10"/>
      <c r="K358" s="10" t="s">
        <v>1109</v>
      </c>
      <c r="L358" s="10"/>
      <c r="M358" s="10" t="str">
        <f aca="false">IF(C358="","SIN ASIGNAR","ASIGNADO")</f>
        <v>ASIGNADO</v>
      </c>
      <c r="N358" s="10" t="s">
        <v>991</v>
      </c>
    </row>
    <row r="359" customFormat="false" ht="15" hidden="false" customHeight="false" outlineLevel="0" collapsed="false">
      <c r="A359" s="10" t="n">
        <v>354</v>
      </c>
      <c r="B359" s="10" t="s">
        <v>25</v>
      </c>
      <c r="C359" s="8" t="s">
        <v>797</v>
      </c>
      <c r="D359" s="10" t="str">
        <f aca="false">IF(C359="","",IFERROR(INDEX(NIVEL!$B:$B,MATCH(C359,NIVEL!$A:$A,0)),"¡Código no existe!"))</f>
        <v>Salida ranurada Tubasys RAL3000 D=1-1/2"</v>
      </c>
      <c r="E359" s="10" t="str">
        <f aca="false">IF(C359="","",IFERROR(INDEX(NIVEL!$C:$C,MATCH(C359,NIVEL!$A:$A,0)),""))</f>
        <v>Un.</v>
      </c>
      <c r="F359" s="10" t="s">
        <v>1011</v>
      </c>
      <c r="G359" s="10" t="n">
        <f aca="false">IFERROR(MATCH(F359,LISTAS!$D$2:$D$22,0),99)</f>
        <v>4</v>
      </c>
      <c r="H359" s="13" t="n">
        <v>1</v>
      </c>
      <c r="I359" s="10" t="s">
        <v>1121</v>
      </c>
      <c r="J359" s="10"/>
      <c r="K359" s="10" t="s">
        <v>1109</v>
      </c>
      <c r="L359" s="10"/>
      <c r="M359" s="10" t="str">
        <f aca="false">IF(C359="","SIN ASIGNAR","ASIGNADO")</f>
        <v>ASIGNADO</v>
      </c>
      <c r="N359" s="10" t="s">
        <v>991</v>
      </c>
    </row>
    <row r="360" customFormat="false" ht="15" hidden="false" customHeight="false" outlineLevel="0" collapsed="false">
      <c r="A360" s="10" t="n">
        <v>355</v>
      </c>
      <c r="B360" s="10" t="s">
        <v>25</v>
      </c>
      <c r="C360" s="8" t="s">
        <v>797</v>
      </c>
      <c r="D360" s="10" t="str">
        <f aca="false">IF(C360="","",IFERROR(INDEX(NIVEL!$B:$B,MATCH(C360,NIVEL!$A:$A,0)),"¡Código no existe!"))</f>
        <v>Salida ranurada Tubasys RAL3000 D=1-1/2"</v>
      </c>
      <c r="E360" s="10" t="str">
        <f aca="false">IF(C360="","",IFERROR(INDEX(NIVEL!$C:$C,MATCH(C360,NIVEL!$A:$A,0)),""))</f>
        <v>Un.</v>
      </c>
      <c r="F360" s="10" t="s">
        <v>1012</v>
      </c>
      <c r="G360" s="10" t="n">
        <f aca="false">IFERROR(MATCH(F360,LISTAS!$D$2:$D$22,0),99)</f>
        <v>5</v>
      </c>
      <c r="H360" s="13" t="n">
        <v>1</v>
      </c>
      <c r="I360" s="10" t="s">
        <v>1121</v>
      </c>
      <c r="J360" s="10"/>
      <c r="K360" s="10" t="s">
        <v>1109</v>
      </c>
      <c r="L360" s="10"/>
      <c r="M360" s="10" t="str">
        <f aca="false">IF(C360="","SIN ASIGNAR","ASIGNADO")</f>
        <v>ASIGNADO</v>
      </c>
      <c r="N360" s="10" t="s">
        <v>991</v>
      </c>
    </row>
    <row r="361" customFormat="false" ht="15" hidden="false" customHeight="false" outlineLevel="0" collapsed="false">
      <c r="A361" s="10" t="n">
        <v>356</v>
      </c>
      <c r="B361" s="10" t="s">
        <v>25</v>
      </c>
      <c r="C361" s="8" t="s">
        <v>797</v>
      </c>
      <c r="D361" s="10" t="str">
        <f aca="false">IF(C361="","",IFERROR(INDEX(NIVEL!$B:$B,MATCH(C361,NIVEL!$A:$A,0)),"¡Código no existe!"))</f>
        <v>Salida ranurada Tubasys RAL3000 D=1-1/2"</v>
      </c>
      <c r="E361" s="10" t="str">
        <f aca="false">IF(C361="","",IFERROR(INDEX(NIVEL!$C:$C,MATCH(C361,NIVEL!$A:$A,0)),""))</f>
        <v>Un.</v>
      </c>
      <c r="F361" s="10" t="s">
        <v>1013</v>
      </c>
      <c r="G361" s="10" t="n">
        <f aca="false">IFERROR(MATCH(F361,LISTAS!$D$2:$D$22,0),99)</f>
        <v>6</v>
      </c>
      <c r="H361" s="13" t="n">
        <v>2</v>
      </c>
      <c r="I361" s="10" t="s">
        <v>1121</v>
      </c>
      <c r="J361" s="10"/>
      <c r="K361" s="10" t="s">
        <v>1109</v>
      </c>
      <c r="L361" s="10"/>
      <c r="M361" s="10" t="str">
        <f aca="false">IF(C361="","SIN ASIGNAR","ASIGNADO")</f>
        <v>ASIGNADO</v>
      </c>
      <c r="N361" s="10" t="s">
        <v>991</v>
      </c>
    </row>
    <row r="362" customFormat="false" ht="15" hidden="false" customHeight="false" outlineLevel="0" collapsed="false">
      <c r="A362" s="10" t="n">
        <v>357</v>
      </c>
      <c r="B362" s="10" t="s">
        <v>25</v>
      </c>
      <c r="C362" s="8" t="s">
        <v>797</v>
      </c>
      <c r="D362" s="10" t="str">
        <f aca="false">IF(C362="","",IFERROR(INDEX(NIVEL!$B:$B,MATCH(C362,NIVEL!$A:$A,0)),"¡Código no existe!"))</f>
        <v>Salida ranurada Tubasys RAL3000 D=1-1/2"</v>
      </c>
      <c r="E362" s="10" t="str">
        <f aca="false">IF(C362="","",IFERROR(INDEX(NIVEL!$C:$C,MATCH(C362,NIVEL!$A:$A,0)),""))</f>
        <v>Un.</v>
      </c>
      <c r="F362" s="10" t="s">
        <v>1014</v>
      </c>
      <c r="G362" s="10" t="n">
        <f aca="false">IFERROR(MATCH(F362,LISTAS!$D$2:$D$22,0),99)</f>
        <v>7</v>
      </c>
      <c r="H362" s="13" t="n">
        <v>2</v>
      </c>
      <c r="I362" s="10" t="s">
        <v>1121</v>
      </c>
      <c r="J362" s="10"/>
      <c r="K362" s="10" t="s">
        <v>1109</v>
      </c>
      <c r="L362" s="10"/>
      <c r="M362" s="10" t="str">
        <f aca="false">IF(C362="","SIN ASIGNAR","ASIGNADO")</f>
        <v>ASIGNADO</v>
      </c>
      <c r="N362" s="10" t="s">
        <v>991</v>
      </c>
    </row>
    <row r="363" customFormat="false" ht="15" hidden="false" customHeight="false" outlineLevel="0" collapsed="false">
      <c r="A363" s="10" t="n">
        <v>358</v>
      </c>
      <c r="B363" s="10" t="s">
        <v>25</v>
      </c>
      <c r="C363" s="8" t="s">
        <v>797</v>
      </c>
      <c r="D363" s="10" t="str">
        <f aca="false">IF(C363="","",IFERROR(INDEX(NIVEL!$B:$B,MATCH(C363,NIVEL!$A:$A,0)),"¡Código no existe!"))</f>
        <v>Salida ranurada Tubasys RAL3000 D=1-1/2"</v>
      </c>
      <c r="E363" s="10" t="str">
        <f aca="false">IF(C363="","",IFERROR(INDEX(NIVEL!$C:$C,MATCH(C363,NIVEL!$A:$A,0)),""))</f>
        <v>Un.</v>
      </c>
      <c r="F363" s="10" t="s">
        <v>1017</v>
      </c>
      <c r="G363" s="10" t="n">
        <f aca="false">IFERROR(MATCH(F363,LISTAS!$D$2:$D$22,0),99)</f>
        <v>8</v>
      </c>
      <c r="H363" s="13" t="n">
        <v>2</v>
      </c>
      <c r="I363" s="10" t="s">
        <v>1121</v>
      </c>
      <c r="J363" s="10"/>
      <c r="K363" s="10" t="s">
        <v>1109</v>
      </c>
      <c r="L363" s="10"/>
      <c r="M363" s="10" t="str">
        <f aca="false">IF(C363="","SIN ASIGNAR","ASIGNADO")</f>
        <v>ASIGNADO</v>
      </c>
      <c r="N363" s="10" t="s">
        <v>991</v>
      </c>
    </row>
    <row r="364" customFormat="false" ht="15" hidden="false" customHeight="false" outlineLevel="0" collapsed="false">
      <c r="A364" s="10" t="n">
        <v>359</v>
      </c>
      <c r="B364" s="10" t="s">
        <v>25</v>
      </c>
      <c r="C364" s="8" t="s">
        <v>797</v>
      </c>
      <c r="D364" s="10" t="str">
        <f aca="false">IF(C364="","",IFERROR(INDEX(NIVEL!$B:$B,MATCH(C364,NIVEL!$A:$A,0)),"¡Código no existe!"))</f>
        <v>Salida ranurada Tubasys RAL3000 D=1-1/2"</v>
      </c>
      <c r="E364" s="10" t="str">
        <f aca="false">IF(C364="","",IFERROR(INDEX(NIVEL!$C:$C,MATCH(C364,NIVEL!$A:$A,0)),""))</f>
        <v>Un.</v>
      </c>
      <c r="F364" s="10" t="s">
        <v>1049</v>
      </c>
      <c r="G364" s="10" t="n">
        <f aca="false">IFERROR(MATCH(F364,LISTAS!$D$2:$D$22,0),99)</f>
        <v>9</v>
      </c>
      <c r="H364" s="13" t="n">
        <v>2</v>
      </c>
      <c r="I364" s="10" t="s">
        <v>1121</v>
      </c>
      <c r="J364" s="10"/>
      <c r="K364" s="10" t="s">
        <v>1109</v>
      </c>
      <c r="L364" s="10"/>
      <c r="M364" s="10" t="str">
        <f aca="false">IF(C364="","SIN ASIGNAR","ASIGNADO")</f>
        <v>ASIGNADO</v>
      </c>
      <c r="N364" s="10" t="s">
        <v>991</v>
      </c>
    </row>
    <row r="365" customFormat="false" ht="15" hidden="false" customHeight="false" outlineLevel="0" collapsed="false">
      <c r="A365" s="10" t="n">
        <v>360</v>
      </c>
      <c r="B365" s="10" t="s">
        <v>25</v>
      </c>
      <c r="C365" s="8" t="s">
        <v>797</v>
      </c>
      <c r="D365" s="10" t="str">
        <f aca="false">IF(C365="","",IFERROR(INDEX(NIVEL!$B:$B,MATCH(C365,NIVEL!$A:$A,0)),"¡Código no existe!"))</f>
        <v>Salida ranurada Tubasys RAL3000 D=1-1/2"</v>
      </c>
      <c r="E365" s="10" t="str">
        <f aca="false">IF(C365="","",IFERROR(INDEX(NIVEL!$C:$C,MATCH(C365,NIVEL!$A:$A,0)),""))</f>
        <v>Un.</v>
      </c>
      <c r="F365" s="10" t="s">
        <v>1050</v>
      </c>
      <c r="G365" s="10" t="n">
        <f aca="false">IFERROR(MATCH(F365,LISTAS!$D$2:$D$22,0),99)</f>
        <v>10</v>
      </c>
      <c r="H365" s="13" t="n">
        <v>2</v>
      </c>
      <c r="I365" s="10" t="s">
        <v>1121</v>
      </c>
      <c r="J365" s="10"/>
      <c r="K365" s="10" t="s">
        <v>1109</v>
      </c>
      <c r="L365" s="10"/>
      <c r="M365" s="10" t="str">
        <f aca="false">IF(C365="","SIN ASIGNAR","ASIGNADO")</f>
        <v>ASIGNADO</v>
      </c>
      <c r="N365" s="10" t="s">
        <v>991</v>
      </c>
    </row>
    <row r="366" customFormat="false" ht="15" hidden="false" customHeight="false" outlineLevel="0" collapsed="false">
      <c r="A366" s="10" t="n">
        <v>361</v>
      </c>
      <c r="B366" s="10" t="s">
        <v>25</v>
      </c>
      <c r="C366" s="8" t="s">
        <v>797</v>
      </c>
      <c r="D366" s="10" t="str">
        <f aca="false">IF(C366="","",IFERROR(INDEX(NIVEL!$B:$B,MATCH(C366,NIVEL!$A:$A,0)),"¡Código no existe!"))</f>
        <v>Salida ranurada Tubasys RAL3000 D=1-1/2"</v>
      </c>
      <c r="E366" s="10" t="str">
        <f aca="false">IF(C366="","",IFERROR(INDEX(NIVEL!$C:$C,MATCH(C366,NIVEL!$A:$A,0)),""))</f>
        <v>Un.</v>
      </c>
      <c r="F366" s="10" t="s">
        <v>1051</v>
      </c>
      <c r="G366" s="10" t="n">
        <f aca="false">IFERROR(MATCH(F366,LISTAS!$D$2:$D$22,0),99)</f>
        <v>11</v>
      </c>
      <c r="H366" s="13" t="n">
        <v>2</v>
      </c>
      <c r="I366" s="10" t="s">
        <v>1121</v>
      </c>
      <c r="J366" s="10"/>
      <c r="K366" s="10" t="s">
        <v>1109</v>
      </c>
      <c r="L366" s="10"/>
      <c r="M366" s="10" t="str">
        <f aca="false">IF(C366="","SIN ASIGNAR","ASIGNADO")</f>
        <v>ASIGNADO</v>
      </c>
      <c r="N366" s="10" t="s">
        <v>991</v>
      </c>
    </row>
    <row r="367" customFormat="false" ht="15" hidden="false" customHeight="false" outlineLevel="0" collapsed="false">
      <c r="A367" s="10" t="n">
        <v>362</v>
      </c>
      <c r="B367" s="10" t="s">
        <v>25</v>
      </c>
      <c r="C367" s="8" t="s">
        <v>797</v>
      </c>
      <c r="D367" s="10" t="str">
        <f aca="false">IF(C367="","",IFERROR(INDEX(NIVEL!$B:$B,MATCH(C367,NIVEL!$A:$A,0)),"¡Código no existe!"))</f>
        <v>Salida ranurada Tubasys RAL3000 D=1-1/2"</v>
      </c>
      <c r="E367" s="10" t="str">
        <f aca="false">IF(C367="","",IFERROR(INDEX(NIVEL!$C:$C,MATCH(C367,NIVEL!$A:$A,0)),""))</f>
        <v>Un.</v>
      </c>
      <c r="F367" s="10" t="s">
        <v>1052</v>
      </c>
      <c r="G367" s="10" t="n">
        <f aca="false">IFERROR(MATCH(F367,LISTAS!$D$2:$D$22,0),99)</f>
        <v>12</v>
      </c>
      <c r="H367" s="13" t="n">
        <v>2</v>
      </c>
      <c r="I367" s="10" t="s">
        <v>1121</v>
      </c>
      <c r="J367" s="10"/>
      <c r="K367" s="10" t="s">
        <v>1109</v>
      </c>
      <c r="L367" s="10"/>
      <c r="M367" s="10" t="str">
        <f aca="false">IF(C367="","SIN ASIGNAR","ASIGNADO")</f>
        <v>ASIGNADO</v>
      </c>
      <c r="N367" s="10" t="s">
        <v>991</v>
      </c>
    </row>
    <row r="368" customFormat="false" ht="15" hidden="false" customHeight="false" outlineLevel="0" collapsed="false">
      <c r="A368" s="10" t="n">
        <v>363</v>
      </c>
      <c r="B368" s="10" t="s">
        <v>25</v>
      </c>
      <c r="C368" s="8" t="s">
        <v>797</v>
      </c>
      <c r="D368" s="10" t="str">
        <f aca="false">IF(C368="","",IFERROR(INDEX(NIVEL!$B:$B,MATCH(C368,NIVEL!$A:$A,0)),"¡Código no existe!"))</f>
        <v>Salida ranurada Tubasys RAL3000 D=1-1/2"</v>
      </c>
      <c r="E368" s="10" t="str">
        <f aca="false">IF(C368="","",IFERROR(INDEX(NIVEL!$C:$C,MATCH(C368,NIVEL!$A:$A,0)),""))</f>
        <v>Un.</v>
      </c>
      <c r="F368" s="10" t="s">
        <v>1053</v>
      </c>
      <c r="G368" s="10" t="n">
        <f aca="false">IFERROR(MATCH(F368,LISTAS!$D$2:$D$22,0),99)</f>
        <v>13</v>
      </c>
      <c r="H368" s="13" t="n">
        <v>2</v>
      </c>
      <c r="I368" s="10" t="s">
        <v>1121</v>
      </c>
      <c r="J368" s="10"/>
      <c r="K368" s="10" t="s">
        <v>1109</v>
      </c>
      <c r="L368" s="10"/>
      <c r="M368" s="10" t="str">
        <f aca="false">IF(C368="","SIN ASIGNAR","ASIGNADO")</f>
        <v>ASIGNADO</v>
      </c>
      <c r="N368" s="10" t="s">
        <v>991</v>
      </c>
    </row>
    <row r="369" customFormat="false" ht="15" hidden="false" customHeight="false" outlineLevel="0" collapsed="false">
      <c r="A369" s="10" t="n">
        <v>364</v>
      </c>
      <c r="B369" s="10" t="s">
        <v>25</v>
      </c>
      <c r="C369" s="8" t="s">
        <v>797</v>
      </c>
      <c r="D369" s="10" t="str">
        <f aca="false">IF(C369="","",IFERROR(INDEX(NIVEL!$B:$B,MATCH(C369,NIVEL!$A:$A,0)),"¡Código no existe!"))</f>
        <v>Salida ranurada Tubasys RAL3000 D=1-1/2"</v>
      </c>
      <c r="E369" s="10" t="str">
        <f aca="false">IF(C369="","",IFERROR(INDEX(NIVEL!$C:$C,MATCH(C369,NIVEL!$A:$A,0)),""))</f>
        <v>Un.</v>
      </c>
      <c r="F369" s="10" t="s">
        <v>1054</v>
      </c>
      <c r="G369" s="10" t="n">
        <f aca="false">IFERROR(MATCH(F369,LISTAS!$D$2:$D$22,0),99)</f>
        <v>14</v>
      </c>
      <c r="H369" s="13" t="n">
        <v>2</v>
      </c>
      <c r="I369" s="10" t="s">
        <v>1121</v>
      </c>
      <c r="J369" s="10"/>
      <c r="K369" s="10" t="s">
        <v>1109</v>
      </c>
      <c r="L369" s="10"/>
      <c r="M369" s="10" t="str">
        <f aca="false">IF(C369="","SIN ASIGNAR","ASIGNADO")</f>
        <v>ASIGNADO</v>
      </c>
      <c r="N369" s="10" t="s">
        <v>991</v>
      </c>
    </row>
    <row r="370" customFormat="false" ht="15" hidden="false" customHeight="false" outlineLevel="0" collapsed="false">
      <c r="A370" s="10" t="n">
        <v>365</v>
      </c>
      <c r="B370" s="10" t="s">
        <v>25</v>
      </c>
      <c r="C370" s="8" t="s">
        <v>797</v>
      </c>
      <c r="D370" s="10" t="str">
        <f aca="false">IF(C370="","",IFERROR(INDEX(NIVEL!$B:$B,MATCH(C370,NIVEL!$A:$A,0)),"¡Código no existe!"))</f>
        <v>Salida ranurada Tubasys RAL3000 D=1-1/2"</v>
      </c>
      <c r="E370" s="10" t="str">
        <f aca="false">IF(C370="","",IFERROR(INDEX(NIVEL!$C:$C,MATCH(C370,NIVEL!$A:$A,0)),""))</f>
        <v>Un.</v>
      </c>
      <c r="F370" s="10" t="s">
        <v>1055</v>
      </c>
      <c r="G370" s="10" t="n">
        <f aca="false">IFERROR(MATCH(F370,LISTAS!$D$2:$D$22,0),99)</f>
        <v>15</v>
      </c>
      <c r="H370" s="13" t="n">
        <v>2</v>
      </c>
      <c r="I370" s="10" t="s">
        <v>1121</v>
      </c>
      <c r="J370" s="10"/>
      <c r="K370" s="10" t="s">
        <v>1109</v>
      </c>
      <c r="L370" s="10"/>
      <c r="M370" s="10" t="str">
        <f aca="false">IF(C370="","SIN ASIGNAR","ASIGNADO")</f>
        <v>ASIGNADO</v>
      </c>
      <c r="N370" s="10" t="s">
        <v>991</v>
      </c>
    </row>
    <row r="371" customFormat="false" ht="15" hidden="false" customHeight="false" outlineLevel="0" collapsed="false">
      <c r="A371" s="10" t="n">
        <v>366</v>
      </c>
      <c r="B371" s="10" t="s">
        <v>25</v>
      </c>
      <c r="C371" s="8" t="s">
        <v>797</v>
      </c>
      <c r="D371" s="10" t="str">
        <f aca="false">IF(C371="","",IFERROR(INDEX(NIVEL!$B:$B,MATCH(C371,NIVEL!$A:$A,0)),"¡Código no existe!"))</f>
        <v>Salida ranurada Tubasys RAL3000 D=1-1/2"</v>
      </c>
      <c r="E371" s="10" t="str">
        <f aca="false">IF(C371="","",IFERROR(INDEX(NIVEL!$C:$C,MATCH(C371,NIVEL!$A:$A,0)),""))</f>
        <v>Un.</v>
      </c>
      <c r="F371" s="10" t="s">
        <v>1056</v>
      </c>
      <c r="G371" s="10" t="n">
        <f aca="false">IFERROR(MATCH(F371,LISTAS!$D$2:$D$22,0),99)</f>
        <v>16</v>
      </c>
      <c r="H371" s="13" t="n">
        <v>2</v>
      </c>
      <c r="I371" s="10" t="s">
        <v>1121</v>
      </c>
      <c r="J371" s="10"/>
      <c r="K371" s="10" t="s">
        <v>1109</v>
      </c>
      <c r="L371" s="10"/>
      <c r="M371" s="10" t="str">
        <f aca="false">IF(C371="","SIN ASIGNAR","ASIGNADO")</f>
        <v>ASIGNADO</v>
      </c>
      <c r="N371" s="10" t="s">
        <v>991</v>
      </c>
    </row>
    <row r="372" customFormat="false" ht="15" hidden="false" customHeight="false" outlineLevel="0" collapsed="false">
      <c r="A372" s="10" t="n">
        <v>367</v>
      </c>
      <c r="B372" s="10" t="s">
        <v>25</v>
      </c>
      <c r="C372" s="8" t="s">
        <v>797</v>
      </c>
      <c r="D372" s="10" t="str">
        <f aca="false">IF(C372="","",IFERROR(INDEX(NIVEL!$B:$B,MATCH(C372,NIVEL!$A:$A,0)),"¡Código no existe!"))</f>
        <v>Salida ranurada Tubasys RAL3000 D=1-1/2"</v>
      </c>
      <c r="E372" s="10" t="str">
        <f aca="false">IF(C372="","",IFERROR(INDEX(NIVEL!$C:$C,MATCH(C372,NIVEL!$A:$A,0)),""))</f>
        <v>Un.</v>
      </c>
      <c r="F372" s="10" t="s">
        <v>1057</v>
      </c>
      <c r="G372" s="10" t="n">
        <f aca="false">IFERROR(MATCH(F372,LISTAS!$D$2:$D$22,0),99)</f>
        <v>17</v>
      </c>
      <c r="H372" s="13" t="n">
        <v>2</v>
      </c>
      <c r="I372" s="10" t="s">
        <v>1121</v>
      </c>
      <c r="J372" s="10"/>
      <c r="K372" s="10" t="s">
        <v>1109</v>
      </c>
      <c r="L372" s="10"/>
      <c r="M372" s="10" t="str">
        <f aca="false">IF(C372="","SIN ASIGNAR","ASIGNADO")</f>
        <v>ASIGNADO</v>
      </c>
      <c r="N372" s="10" t="s">
        <v>991</v>
      </c>
    </row>
    <row r="373" customFormat="false" ht="15" hidden="false" customHeight="false" outlineLevel="0" collapsed="false">
      <c r="A373" s="10" t="n">
        <v>368</v>
      </c>
      <c r="B373" s="10" t="s">
        <v>25</v>
      </c>
      <c r="C373" s="8" t="s">
        <v>797</v>
      </c>
      <c r="D373" s="10" t="str">
        <f aca="false">IF(C373="","",IFERROR(INDEX(NIVEL!$B:$B,MATCH(C373,NIVEL!$A:$A,0)),"¡Código no existe!"))</f>
        <v>Salida ranurada Tubasys RAL3000 D=1-1/2"</v>
      </c>
      <c r="E373" s="10" t="str">
        <f aca="false">IF(C373="","",IFERROR(INDEX(NIVEL!$C:$C,MATCH(C373,NIVEL!$A:$A,0)),""))</f>
        <v>Un.</v>
      </c>
      <c r="F373" s="10" t="s">
        <v>1058</v>
      </c>
      <c r="G373" s="10" t="n">
        <f aca="false">IFERROR(MATCH(F373,LISTAS!$D$2:$D$22,0),99)</f>
        <v>18</v>
      </c>
      <c r="H373" s="13" t="n">
        <v>2</v>
      </c>
      <c r="I373" s="10" t="s">
        <v>1121</v>
      </c>
      <c r="J373" s="10"/>
      <c r="K373" s="10" t="s">
        <v>1109</v>
      </c>
      <c r="L373" s="10"/>
      <c r="M373" s="10" t="str">
        <f aca="false">IF(C373="","SIN ASIGNAR","ASIGNADO")</f>
        <v>ASIGNADO</v>
      </c>
      <c r="N373" s="10" t="s">
        <v>991</v>
      </c>
    </row>
    <row r="374" customFormat="false" ht="15" hidden="false" customHeight="false" outlineLevel="0" collapsed="false">
      <c r="A374" s="10" t="n">
        <v>369</v>
      </c>
      <c r="B374" s="10" t="s">
        <v>25</v>
      </c>
      <c r="C374" s="8" t="s">
        <v>797</v>
      </c>
      <c r="D374" s="10" t="str">
        <f aca="false">IF(C374="","",IFERROR(INDEX(NIVEL!$B:$B,MATCH(C374,NIVEL!$A:$A,0)),"¡Código no existe!"))</f>
        <v>Salida ranurada Tubasys RAL3000 D=1-1/2"</v>
      </c>
      <c r="E374" s="10" t="str">
        <f aca="false">IF(C374="","",IFERROR(INDEX(NIVEL!$C:$C,MATCH(C374,NIVEL!$A:$A,0)),""))</f>
        <v>Un.</v>
      </c>
      <c r="F374" s="10" t="s">
        <v>1018</v>
      </c>
      <c r="G374" s="10" t="n">
        <f aca="false">IFERROR(MATCH(F374,LISTAS!$D$2:$D$22,0),99)</f>
        <v>19</v>
      </c>
      <c r="H374" s="13" t="n">
        <v>2</v>
      </c>
      <c r="I374" s="10" t="s">
        <v>1121</v>
      </c>
      <c r="J374" s="10"/>
      <c r="K374" s="10" t="s">
        <v>1109</v>
      </c>
      <c r="L374" s="10"/>
      <c r="M374" s="10" t="str">
        <f aca="false">IF(C374="","SIN ASIGNAR","ASIGNADO")</f>
        <v>ASIGNADO</v>
      </c>
      <c r="N374" s="10" t="s">
        <v>991</v>
      </c>
    </row>
    <row r="375" customFormat="false" ht="15" hidden="false" customHeight="false" outlineLevel="0" collapsed="false">
      <c r="A375" s="10" t="n">
        <v>370</v>
      </c>
      <c r="B375" s="10" t="s">
        <v>25</v>
      </c>
      <c r="C375" s="8" t="s">
        <v>793</v>
      </c>
      <c r="D375" s="10" t="str">
        <f aca="false">IF(C375="","",IFERROR(INDEX(NIVEL!$B:$B,MATCH(C375,NIVEL!$A:$A,0)),"¡Código no existe!"))</f>
        <v>Acople rígido D=1-1/2"</v>
      </c>
      <c r="E375" s="10" t="str">
        <f aca="false">IF(C375="","",IFERROR(INDEX(NIVEL!$C:$C,MATCH(C375,NIVEL!$A:$A,0)),""))</f>
        <v>Un.</v>
      </c>
      <c r="F375" s="10" t="s">
        <v>987</v>
      </c>
      <c r="G375" s="10" t="n">
        <f aca="false">IFERROR(MATCH(F375,LISTAS!$D$2:$D$22,0),99)</f>
        <v>1</v>
      </c>
      <c r="H375" s="13" t="n">
        <v>4</v>
      </c>
      <c r="I375" s="10" t="s">
        <v>1122</v>
      </c>
      <c r="J375" s="10"/>
      <c r="K375" s="10" t="s">
        <v>1109</v>
      </c>
      <c r="L375" s="10"/>
      <c r="M375" s="10" t="str">
        <f aca="false">IF(C375="","SIN ASIGNAR","ASIGNADO")</f>
        <v>ASIGNADO</v>
      </c>
      <c r="N375" s="10" t="s">
        <v>991</v>
      </c>
    </row>
    <row r="376" customFormat="false" ht="15" hidden="false" customHeight="false" outlineLevel="0" collapsed="false">
      <c r="A376" s="10" t="n">
        <v>371</v>
      </c>
      <c r="B376" s="10" t="s">
        <v>25</v>
      </c>
      <c r="C376" s="8" t="s">
        <v>793</v>
      </c>
      <c r="D376" s="10" t="str">
        <f aca="false">IF(C376="","",IFERROR(INDEX(NIVEL!$B:$B,MATCH(C376,NIVEL!$A:$A,0)),"¡Código no existe!"))</f>
        <v>Acople rígido D=1-1/2"</v>
      </c>
      <c r="E376" s="10" t="str">
        <f aca="false">IF(C376="","",IFERROR(INDEX(NIVEL!$C:$C,MATCH(C376,NIVEL!$A:$A,0)),""))</f>
        <v>Un.</v>
      </c>
      <c r="F376" s="10" t="s">
        <v>1031</v>
      </c>
      <c r="G376" s="10" t="n">
        <f aca="false">IFERROR(MATCH(F376,LISTAS!$D$2:$D$22,0),99)</f>
        <v>2</v>
      </c>
      <c r="H376" s="13" t="n">
        <v>4</v>
      </c>
      <c r="I376" s="10" t="s">
        <v>1122</v>
      </c>
      <c r="J376" s="10"/>
      <c r="K376" s="10" t="s">
        <v>1109</v>
      </c>
      <c r="L376" s="10"/>
      <c r="M376" s="10" t="str">
        <f aca="false">IF(C376="","SIN ASIGNAR","ASIGNADO")</f>
        <v>ASIGNADO</v>
      </c>
      <c r="N376" s="10" t="s">
        <v>991</v>
      </c>
    </row>
    <row r="377" customFormat="false" ht="15" hidden="false" customHeight="false" outlineLevel="0" collapsed="false">
      <c r="A377" s="10" t="n">
        <v>372</v>
      </c>
      <c r="B377" s="10" t="s">
        <v>25</v>
      </c>
      <c r="C377" s="8" t="s">
        <v>793</v>
      </c>
      <c r="D377" s="10" t="str">
        <f aca="false">IF(C377="","",IFERROR(INDEX(NIVEL!$B:$B,MATCH(C377,NIVEL!$A:$A,0)),"¡Código no existe!"))</f>
        <v>Acople rígido D=1-1/2"</v>
      </c>
      <c r="E377" s="10" t="str">
        <f aca="false">IF(C377="","",IFERROR(INDEX(NIVEL!$C:$C,MATCH(C377,NIVEL!$A:$A,0)),""))</f>
        <v>Un.</v>
      </c>
      <c r="F377" s="10" t="s">
        <v>1008</v>
      </c>
      <c r="G377" s="10" t="n">
        <f aca="false">IFERROR(MATCH(F377,LISTAS!$D$2:$D$22,0),99)</f>
        <v>3</v>
      </c>
      <c r="H377" s="13" t="n">
        <v>4</v>
      </c>
      <c r="I377" s="10" t="s">
        <v>1122</v>
      </c>
      <c r="J377" s="10"/>
      <c r="K377" s="10" t="s">
        <v>1109</v>
      </c>
      <c r="L377" s="10"/>
      <c r="M377" s="10" t="str">
        <f aca="false">IF(C377="","SIN ASIGNAR","ASIGNADO")</f>
        <v>ASIGNADO</v>
      </c>
      <c r="N377" s="10" t="s">
        <v>991</v>
      </c>
    </row>
    <row r="378" customFormat="false" ht="15" hidden="false" customHeight="false" outlineLevel="0" collapsed="false">
      <c r="A378" s="10" t="n">
        <v>373</v>
      </c>
      <c r="B378" s="10" t="s">
        <v>25</v>
      </c>
      <c r="C378" s="8" t="s">
        <v>793</v>
      </c>
      <c r="D378" s="10" t="str">
        <f aca="false">IF(C378="","",IFERROR(INDEX(NIVEL!$B:$B,MATCH(C378,NIVEL!$A:$A,0)),"¡Código no existe!"))</f>
        <v>Acople rígido D=1-1/2"</v>
      </c>
      <c r="E378" s="10" t="str">
        <f aca="false">IF(C378="","",IFERROR(INDEX(NIVEL!$C:$C,MATCH(C378,NIVEL!$A:$A,0)),""))</f>
        <v>Un.</v>
      </c>
      <c r="F378" s="10" t="s">
        <v>1011</v>
      </c>
      <c r="G378" s="10" t="n">
        <f aca="false">IFERROR(MATCH(F378,LISTAS!$D$2:$D$22,0),99)</f>
        <v>4</v>
      </c>
      <c r="H378" s="13" t="n">
        <v>4</v>
      </c>
      <c r="I378" s="10" t="s">
        <v>1122</v>
      </c>
      <c r="J378" s="10"/>
      <c r="K378" s="10" t="s">
        <v>1109</v>
      </c>
      <c r="L378" s="10"/>
      <c r="M378" s="10" t="str">
        <f aca="false">IF(C378="","SIN ASIGNAR","ASIGNADO")</f>
        <v>ASIGNADO</v>
      </c>
      <c r="N378" s="10" t="s">
        <v>991</v>
      </c>
    </row>
    <row r="379" customFormat="false" ht="15" hidden="false" customHeight="false" outlineLevel="0" collapsed="false">
      <c r="A379" s="10" t="n">
        <v>374</v>
      </c>
      <c r="B379" s="10" t="s">
        <v>25</v>
      </c>
      <c r="C379" s="8" t="s">
        <v>793</v>
      </c>
      <c r="D379" s="10" t="str">
        <f aca="false">IF(C379="","",IFERROR(INDEX(NIVEL!$B:$B,MATCH(C379,NIVEL!$A:$A,0)),"¡Código no existe!"))</f>
        <v>Acople rígido D=1-1/2"</v>
      </c>
      <c r="E379" s="10" t="str">
        <f aca="false">IF(C379="","",IFERROR(INDEX(NIVEL!$C:$C,MATCH(C379,NIVEL!$A:$A,0)),""))</f>
        <v>Un.</v>
      </c>
      <c r="F379" s="10" t="s">
        <v>1012</v>
      </c>
      <c r="G379" s="10" t="n">
        <f aca="false">IFERROR(MATCH(F379,LISTAS!$D$2:$D$22,0),99)</f>
        <v>5</v>
      </c>
      <c r="H379" s="13" t="n">
        <v>4</v>
      </c>
      <c r="I379" s="10" t="s">
        <v>1122</v>
      </c>
      <c r="J379" s="10"/>
      <c r="K379" s="10" t="s">
        <v>1109</v>
      </c>
      <c r="L379" s="10"/>
      <c r="M379" s="10" t="str">
        <f aca="false">IF(C379="","SIN ASIGNAR","ASIGNADO")</f>
        <v>ASIGNADO</v>
      </c>
      <c r="N379" s="10" t="s">
        <v>991</v>
      </c>
    </row>
    <row r="380" customFormat="false" ht="15" hidden="false" customHeight="false" outlineLevel="0" collapsed="false">
      <c r="A380" s="10" t="n">
        <v>375</v>
      </c>
      <c r="B380" s="10" t="s">
        <v>25</v>
      </c>
      <c r="C380" s="8" t="s">
        <v>793</v>
      </c>
      <c r="D380" s="10" t="str">
        <f aca="false">IF(C380="","",IFERROR(INDEX(NIVEL!$B:$B,MATCH(C380,NIVEL!$A:$A,0)),"¡Código no existe!"))</f>
        <v>Acople rígido D=1-1/2"</v>
      </c>
      <c r="E380" s="10" t="str">
        <f aca="false">IF(C380="","",IFERROR(INDEX(NIVEL!$C:$C,MATCH(C380,NIVEL!$A:$A,0)),""))</f>
        <v>Un.</v>
      </c>
      <c r="F380" s="10" t="s">
        <v>1013</v>
      </c>
      <c r="G380" s="10" t="n">
        <f aca="false">IFERROR(MATCH(F380,LISTAS!$D$2:$D$22,0),99)</f>
        <v>6</v>
      </c>
      <c r="H380" s="13" t="n">
        <v>8</v>
      </c>
      <c r="I380" s="10" t="s">
        <v>1122</v>
      </c>
      <c r="J380" s="10"/>
      <c r="K380" s="10" t="s">
        <v>1109</v>
      </c>
      <c r="L380" s="10"/>
      <c r="M380" s="10" t="str">
        <f aca="false">IF(C380="","SIN ASIGNAR","ASIGNADO")</f>
        <v>ASIGNADO</v>
      </c>
      <c r="N380" s="10" t="s">
        <v>991</v>
      </c>
    </row>
    <row r="381" customFormat="false" ht="15" hidden="false" customHeight="false" outlineLevel="0" collapsed="false">
      <c r="A381" s="10" t="n">
        <v>376</v>
      </c>
      <c r="B381" s="10" t="s">
        <v>25</v>
      </c>
      <c r="C381" s="8" t="s">
        <v>793</v>
      </c>
      <c r="D381" s="10" t="str">
        <f aca="false">IF(C381="","",IFERROR(INDEX(NIVEL!$B:$B,MATCH(C381,NIVEL!$A:$A,0)),"¡Código no existe!"))</f>
        <v>Acople rígido D=1-1/2"</v>
      </c>
      <c r="E381" s="10" t="str">
        <f aca="false">IF(C381="","",IFERROR(INDEX(NIVEL!$C:$C,MATCH(C381,NIVEL!$A:$A,0)),""))</f>
        <v>Un.</v>
      </c>
      <c r="F381" s="10" t="s">
        <v>1014</v>
      </c>
      <c r="G381" s="10" t="n">
        <f aca="false">IFERROR(MATCH(F381,LISTAS!$D$2:$D$22,0),99)</f>
        <v>7</v>
      </c>
      <c r="H381" s="13" t="n">
        <v>8</v>
      </c>
      <c r="I381" s="10" t="s">
        <v>1122</v>
      </c>
      <c r="J381" s="10"/>
      <c r="K381" s="10" t="s">
        <v>1109</v>
      </c>
      <c r="L381" s="10"/>
      <c r="M381" s="10" t="str">
        <f aca="false">IF(C381="","SIN ASIGNAR","ASIGNADO")</f>
        <v>ASIGNADO</v>
      </c>
      <c r="N381" s="10" t="s">
        <v>991</v>
      </c>
    </row>
    <row r="382" customFormat="false" ht="15" hidden="false" customHeight="false" outlineLevel="0" collapsed="false">
      <c r="A382" s="10" t="n">
        <v>377</v>
      </c>
      <c r="B382" s="10" t="s">
        <v>25</v>
      </c>
      <c r="C382" s="8" t="s">
        <v>793</v>
      </c>
      <c r="D382" s="10" t="str">
        <f aca="false">IF(C382="","",IFERROR(INDEX(NIVEL!$B:$B,MATCH(C382,NIVEL!$A:$A,0)),"¡Código no existe!"))</f>
        <v>Acople rígido D=1-1/2"</v>
      </c>
      <c r="E382" s="10" t="str">
        <f aca="false">IF(C382="","",IFERROR(INDEX(NIVEL!$C:$C,MATCH(C382,NIVEL!$A:$A,0)),""))</f>
        <v>Un.</v>
      </c>
      <c r="F382" s="10" t="s">
        <v>1017</v>
      </c>
      <c r="G382" s="10" t="n">
        <f aca="false">IFERROR(MATCH(F382,LISTAS!$D$2:$D$22,0),99)</f>
        <v>8</v>
      </c>
      <c r="H382" s="13" t="n">
        <v>8</v>
      </c>
      <c r="I382" s="10" t="s">
        <v>1122</v>
      </c>
      <c r="J382" s="10"/>
      <c r="K382" s="10" t="s">
        <v>1109</v>
      </c>
      <c r="L382" s="10"/>
      <c r="M382" s="10" t="str">
        <f aca="false">IF(C382="","SIN ASIGNAR","ASIGNADO")</f>
        <v>ASIGNADO</v>
      </c>
      <c r="N382" s="10" t="s">
        <v>991</v>
      </c>
    </row>
    <row r="383" customFormat="false" ht="15" hidden="false" customHeight="false" outlineLevel="0" collapsed="false">
      <c r="A383" s="10" t="n">
        <v>378</v>
      </c>
      <c r="B383" s="10" t="s">
        <v>25</v>
      </c>
      <c r="C383" s="8" t="s">
        <v>793</v>
      </c>
      <c r="D383" s="10" t="str">
        <f aca="false">IF(C383="","",IFERROR(INDEX(NIVEL!$B:$B,MATCH(C383,NIVEL!$A:$A,0)),"¡Código no existe!"))</f>
        <v>Acople rígido D=1-1/2"</v>
      </c>
      <c r="E383" s="10" t="str">
        <f aca="false">IF(C383="","",IFERROR(INDEX(NIVEL!$C:$C,MATCH(C383,NIVEL!$A:$A,0)),""))</f>
        <v>Un.</v>
      </c>
      <c r="F383" s="10" t="s">
        <v>1049</v>
      </c>
      <c r="G383" s="10" t="n">
        <f aca="false">IFERROR(MATCH(F383,LISTAS!$D$2:$D$22,0),99)</f>
        <v>9</v>
      </c>
      <c r="H383" s="13" t="n">
        <v>8</v>
      </c>
      <c r="I383" s="10" t="s">
        <v>1122</v>
      </c>
      <c r="J383" s="10"/>
      <c r="K383" s="10" t="s">
        <v>1109</v>
      </c>
      <c r="L383" s="10"/>
      <c r="M383" s="10" t="str">
        <f aca="false">IF(C383="","SIN ASIGNAR","ASIGNADO")</f>
        <v>ASIGNADO</v>
      </c>
      <c r="N383" s="10" t="s">
        <v>991</v>
      </c>
    </row>
    <row r="384" customFormat="false" ht="15" hidden="false" customHeight="false" outlineLevel="0" collapsed="false">
      <c r="A384" s="10" t="n">
        <v>379</v>
      </c>
      <c r="B384" s="10" t="s">
        <v>25</v>
      </c>
      <c r="C384" s="8" t="s">
        <v>793</v>
      </c>
      <c r="D384" s="10" t="str">
        <f aca="false">IF(C384="","",IFERROR(INDEX(NIVEL!$B:$B,MATCH(C384,NIVEL!$A:$A,0)),"¡Código no existe!"))</f>
        <v>Acople rígido D=1-1/2"</v>
      </c>
      <c r="E384" s="10" t="str">
        <f aca="false">IF(C384="","",IFERROR(INDEX(NIVEL!$C:$C,MATCH(C384,NIVEL!$A:$A,0)),""))</f>
        <v>Un.</v>
      </c>
      <c r="F384" s="10" t="s">
        <v>1050</v>
      </c>
      <c r="G384" s="10" t="n">
        <f aca="false">IFERROR(MATCH(F384,LISTAS!$D$2:$D$22,0),99)</f>
        <v>10</v>
      </c>
      <c r="H384" s="13" t="n">
        <v>8</v>
      </c>
      <c r="I384" s="10" t="s">
        <v>1122</v>
      </c>
      <c r="J384" s="10"/>
      <c r="K384" s="10" t="s">
        <v>1109</v>
      </c>
      <c r="L384" s="10"/>
      <c r="M384" s="10" t="str">
        <f aca="false">IF(C384="","SIN ASIGNAR","ASIGNADO")</f>
        <v>ASIGNADO</v>
      </c>
      <c r="N384" s="10" t="s">
        <v>991</v>
      </c>
    </row>
    <row r="385" customFormat="false" ht="15" hidden="false" customHeight="false" outlineLevel="0" collapsed="false">
      <c r="A385" s="10" t="n">
        <v>380</v>
      </c>
      <c r="B385" s="10" t="s">
        <v>25</v>
      </c>
      <c r="C385" s="8" t="s">
        <v>793</v>
      </c>
      <c r="D385" s="10" t="str">
        <f aca="false">IF(C385="","",IFERROR(INDEX(NIVEL!$B:$B,MATCH(C385,NIVEL!$A:$A,0)),"¡Código no existe!"))</f>
        <v>Acople rígido D=1-1/2"</v>
      </c>
      <c r="E385" s="10" t="str">
        <f aca="false">IF(C385="","",IFERROR(INDEX(NIVEL!$C:$C,MATCH(C385,NIVEL!$A:$A,0)),""))</f>
        <v>Un.</v>
      </c>
      <c r="F385" s="10" t="s">
        <v>1051</v>
      </c>
      <c r="G385" s="10" t="n">
        <f aca="false">IFERROR(MATCH(F385,LISTAS!$D$2:$D$22,0),99)</f>
        <v>11</v>
      </c>
      <c r="H385" s="13" t="n">
        <v>8</v>
      </c>
      <c r="I385" s="10" t="s">
        <v>1122</v>
      </c>
      <c r="J385" s="10"/>
      <c r="K385" s="10" t="s">
        <v>1109</v>
      </c>
      <c r="L385" s="10"/>
      <c r="M385" s="10" t="str">
        <f aca="false">IF(C385="","SIN ASIGNAR","ASIGNADO")</f>
        <v>ASIGNADO</v>
      </c>
      <c r="N385" s="10" t="s">
        <v>991</v>
      </c>
    </row>
    <row r="386" customFormat="false" ht="15" hidden="false" customHeight="false" outlineLevel="0" collapsed="false">
      <c r="A386" s="10" t="n">
        <v>381</v>
      </c>
      <c r="B386" s="10" t="s">
        <v>25</v>
      </c>
      <c r="C386" s="8" t="s">
        <v>793</v>
      </c>
      <c r="D386" s="10" t="str">
        <f aca="false">IF(C386="","",IFERROR(INDEX(NIVEL!$B:$B,MATCH(C386,NIVEL!$A:$A,0)),"¡Código no existe!"))</f>
        <v>Acople rígido D=1-1/2"</v>
      </c>
      <c r="E386" s="10" t="str">
        <f aca="false">IF(C386="","",IFERROR(INDEX(NIVEL!$C:$C,MATCH(C386,NIVEL!$A:$A,0)),""))</f>
        <v>Un.</v>
      </c>
      <c r="F386" s="10" t="s">
        <v>1052</v>
      </c>
      <c r="G386" s="10" t="n">
        <f aca="false">IFERROR(MATCH(F386,LISTAS!$D$2:$D$22,0),99)</f>
        <v>12</v>
      </c>
      <c r="H386" s="13" t="n">
        <v>8</v>
      </c>
      <c r="I386" s="10" t="s">
        <v>1122</v>
      </c>
      <c r="J386" s="10"/>
      <c r="K386" s="10" t="s">
        <v>1109</v>
      </c>
      <c r="L386" s="10"/>
      <c r="M386" s="10" t="str">
        <f aca="false">IF(C386="","SIN ASIGNAR","ASIGNADO")</f>
        <v>ASIGNADO</v>
      </c>
      <c r="N386" s="10" t="s">
        <v>991</v>
      </c>
    </row>
    <row r="387" customFormat="false" ht="15" hidden="false" customHeight="false" outlineLevel="0" collapsed="false">
      <c r="A387" s="10" t="n">
        <v>382</v>
      </c>
      <c r="B387" s="10" t="s">
        <v>25</v>
      </c>
      <c r="C387" s="8" t="s">
        <v>793</v>
      </c>
      <c r="D387" s="10" t="str">
        <f aca="false">IF(C387="","",IFERROR(INDEX(NIVEL!$B:$B,MATCH(C387,NIVEL!$A:$A,0)),"¡Código no existe!"))</f>
        <v>Acople rígido D=1-1/2"</v>
      </c>
      <c r="E387" s="10" t="str">
        <f aca="false">IF(C387="","",IFERROR(INDEX(NIVEL!$C:$C,MATCH(C387,NIVEL!$A:$A,0)),""))</f>
        <v>Un.</v>
      </c>
      <c r="F387" s="10" t="s">
        <v>1053</v>
      </c>
      <c r="G387" s="10" t="n">
        <f aca="false">IFERROR(MATCH(F387,LISTAS!$D$2:$D$22,0),99)</f>
        <v>13</v>
      </c>
      <c r="H387" s="13" t="n">
        <v>8</v>
      </c>
      <c r="I387" s="10" t="s">
        <v>1122</v>
      </c>
      <c r="J387" s="10"/>
      <c r="K387" s="10" t="s">
        <v>1109</v>
      </c>
      <c r="L387" s="10"/>
      <c r="M387" s="10" t="str">
        <f aca="false">IF(C387="","SIN ASIGNAR","ASIGNADO")</f>
        <v>ASIGNADO</v>
      </c>
      <c r="N387" s="10" t="s">
        <v>991</v>
      </c>
    </row>
    <row r="388" customFormat="false" ht="15" hidden="false" customHeight="false" outlineLevel="0" collapsed="false">
      <c r="A388" s="10" t="n">
        <v>383</v>
      </c>
      <c r="B388" s="10" t="s">
        <v>25</v>
      </c>
      <c r="C388" s="8" t="s">
        <v>793</v>
      </c>
      <c r="D388" s="10" t="str">
        <f aca="false">IF(C388="","",IFERROR(INDEX(NIVEL!$B:$B,MATCH(C388,NIVEL!$A:$A,0)),"¡Código no existe!"))</f>
        <v>Acople rígido D=1-1/2"</v>
      </c>
      <c r="E388" s="10" t="str">
        <f aca="false">IF(C388="","",IFERROR(INDEX(NIVEL!$C:$C,MATCH(C388,NIVEL!$A:$A,0)),""))</f>
        <v>Un.</v>
      </c>
      <c r="F388" s="10" t="s">
        <v>1054</v>
      </c>
      <c r="G388" s="10" t="n">
        <f aca="false">IFERROR(MATCH(F388,LISTAS!$D$2:$D$22,0),99)</f>
        <v>14</v>
      </c>
      <c r="H388" s="13" t="n">
        <v>8</v>
      </c>
      <c r="I388" s="10" t="s">
        <v>1122</v>
      </c>
      <c r="J388" s="10"/>
      <c r="K388" s="10" t="s">
        <v>1109</v>
      </c>
      <c r="L388" s="10"/>
      <c r="M388" s="10" t="str">
        <f aca="false">IF(C388="","SIN ASIGNAR","ASIGNADO")</f>
        <v>ASIGNADO</v>
      </c>
      <c r="N388" s="10" t="s">
        <v>991</v>
      </c>
    </row>
    <row r="389" customFormat="false" ht="15" hidden="false" customHeight="false" outlineLevel="0" collapsed="false">
      <c r="A389" s="10" t="n">
        <v>384</v>
      </c>
      <c r="B389" s="10" t="s">
        <v>25</v>
      </c>
      <c r="C389" s="8" t="s">
        <v>793</v>
      </c>
      <c r="D389" s="10" t="str">
        <f aca="false">IF(C389="","",IFERROR(INDEX(NIVEL!$B:$B,MATCH(C389,NIVEL!$A:$A,0)),"¡Código no existe!"))</f>
        <v>Acople rígido D=1-1/2"</v>
      </c>
      <c r="E389" s="10" t="str">
        <f aca="false">IF(C389="","",IFERROR(INDEX(NIVEL!$C:$C,MATCH(C389,NIVEL!$A:$A,0)),""))</f>
        <v>Un.</v>
      </c>
      <c r="F389" s="10" t="s">
        <v>1055</v>
      </c>
      <c r="G389" s="10" t="n">
        <f aca="false">IFERROR(MATCH(F389,LISTAS!$D$2:$D$22,0),99)</f>
        <v>15</v>
      </c>
      <c r="H389" s="13" t="n">
        <v>8</v>
      </c>
      <c r="I389" s="10" t="s">
        <v>1122</v>
      </c>
      <c r="J389" s="10"/>
      <c r="K389" s="10" t="s">
        <v>1109</v>
      </c>
      <c r="L389" s="10"/>
      <c r="M389" s="10" t="str">
        <f aca="false">IF(C389="","SIN ASIGNAR","ASIGNADO")</f>
        <v>ASIGNADO</v>
      </c>
      <c r="N389" s="10" t="s">
        <v>991</v>
      </c>
    </row>
    <row r="390" customFormat="false" ht="15" hidden="false" customHeight="false" outlineLevel="0" collapsed="false">
      <c r="A390" s="10" t="n">
        <v>385</v>
      </c>
      <c r="B390" s="10" t="s">
        <v>25</v>
      </c>
      <c r="C390" s="8" t="s">
        <v>793</v>
      </c>
      <c r="D390" s="10" t="str">
        <f aca="false">IF(C390="","",IFERROR(INDEX(NIVEL!$B:$B,MATCH(C390,NIVEL!$A:$A,0)),"¡Código no existe!"))</f>
        <v>Acople rígido D=1-1/2"</v>
      </c>
      <c r="E390" s="10" t="str">
        <f aca="false">IF(C390="","",IFERROR(INDEX(NIVEL!$C:$C,MATCH(C390,NIVEL!$A:$A,0)),""))</f>
        <v>Un.</v>
      </c>
      <c r="F390" s="10" t="s">
        <v>1056</v>
      </c>
      <c r="G390" s="10" t="n">
        <f aca="false">IFERROR(MATCH(F390,LISTAS!$D$2:$D$22,0),99)</f>
        <v>16</v>
      </c>
      <c r="H390" s="13" t="n">
        <v>8</v>
      </c>
      <c r="I390" s="10" t="s">
        <v>1122</v>
      </c>
      <c r="J390" s="10"/>
      <c r="K390" s="10" t="s">
        <v>1109</v>
      </c>
      <c r="L390" s="10"/>
      <c r="M390" s="10" t="str">
        <f aca="false">IF(C390="","SIN ASIGNAR","ASIGNADO")</f>
        <v>ASIGNADO</v>
      </c>
      <c r="N390" s="10" t="s">
        <v>991</v>
      </c>
    </row>
    <row r="391" customFormat="false" ht="15" hidden="false" customHeight="false" outlineLevel="0" collapsed="false">
      <c r="A391" s="10" t="n">
        <v>386</v>
      </c>
      <c r="B391" s="10" t="s">
        <v>25</v>
      </c>
      <c r="C391" s="8" t="s">
        <v>793</v>
      </c>
      <c r="D391" s="10" t="str">
        <f aca="false">IF(C391="","",IFERROR(INDEX(NIVEL!$B:$B,MATCH(C391,NIVEL!$A:$A,0)),"¡Código no existe!"))</f>
        <v>Acople rígido D=1-1/2"</v>
      </c>
      <c r="E391" s="10" t="str">
        <f aca="false">IF(C391="","",IFERROR(INDEX(NIVEL!$C:$C,MATCH(C391,NIVEL!$A:$A,0)),""))</f>
        <v>Un.</v>
      </c>
      <c r="F391" s="10" t="s">
        <v>1057</v>
      </c>
      <c r="G391" s="10" t="n">
        <f aca="false">IFERROR(MATCH(F391,LISTAS!$D$2:$D$22,0),99)</f>
        <v>17</v>
      </c>
      <c r="H391" s="13" t="n">
        <v>8</v>
      </c>
      <c r="I391" s="10" t="s">
        <v>1122</v>
      </c>
      <c r="J391" s="10"/>
      <c r="K391" s="10" t="s">
        <v>1109</v>
      </c>
      <c r="L391" s="10"/>
      <c r="M391" s="10" t="str">
        <f aca="false">IF(C391="","SIN ASIGNAR","ASIGNADO")</f>
        <v>ASIGNADO</v>
      </c>
      <c r="N391" s="10" t="s">
        <v>991</v>
      </c>
    </row>
    <row r="392" customFormat="false" ht="15" hidden="false" customHeight="false" outlineLevel="0" collapsed="false">
      <c r="A392" s="10" t="n">
        <v>387</v>
      </c>
      <c r="B392" s="10" t="s">
        <v>25</v>
      </c>
      <c r="C392" s="8" t="s">
        <v>793</v>
      </c>
      <c r="D392" s="10" t="str">
        <f aca="false">IF(C392="","",IFERROR(INDEX(NIVEL!$B:$B,MATCH(C392,NIVEL!$A:$A,0)),"¡Código no existe!"))</f>
        <v>Acople rígido D=1-1/2"</v>
      </c>
      <c r="E392" s="10" t="str">
        <f aca="false">IF(C392="","",IFERROR(INDEX(NIVEL!$C:$C,MATCH(C392,NIVEL!$A:$A,0)),""))</f>
        <v>Un.</v>
      </c>
      <c r="F392" s="10" t="s">
        <v>1058</v>
      </c>
      <c r="G392" s="10" t="n">
        <f aca="false">IFERROR(MATCH(F392,LISTAS!$D$2:$D$22,0),99)</f>
        <v>18</v>
      </c>
      <c r="H392" s="13" t="n">
        <v>8</v>
      </c>
      <c r="I392" s="10" t="s">
        <v>1122</v>
      </c>
      <c r="J392" s="10"/>
      <c r="K392" s="10" t="s">
        <v>1109</v>
      </c>
      <c r="L392" s="10"/>
      <c r="M392" s="10" t="str">
        <f aca="false">IF(C392="","SIN ASIGNAR","ASIGNADO")</f>
        <v>ASIGNADO</v>
      </c>
      <c r="N392" s="10" t="s">
        <v>991</v>
      </c>
    </row>
    <row r="393" customFormat="false" ht="15" hidden="false" customHeight="false" outlineLevel="0" collapsed="false">
      <c r="A393" s="10" t="n">
        <v>388</v>
      </c>
      <c r="B393" s="10" t="s">
        <v>25</v>
      </c>
      <c r="C393" s="8" t="s">
        <v>793</v>
      </c>
      <c r="D393" s="10" t="str">
        <f aca="false">IF(C393="","",IFERROR(INDEX(NIVEL!$B:$B,MATCH(C393,NIVEL!$A:$A,0)),"¡Código no existe!"))</f>
        <v>Acople rígido D=1-1/2"</v>
      </c>
      <c r="E393" s="10" t="str">
        <f aca="false">IF(C393="","",IFERROR(INDEX(NIVEL!$C:$C,MATCH(C393,NIVEL!$A:$A,0)),""))</f>
        <v>Un.</v>
      </c>
      <c r="F393" s="10" t="s">
        <v>1018</v>
      </c>
      <c r="G393" s="10" t="n">
        <f aca="false">IFERROR(MATCH(F393,LISTAS!$D$2:$D$22,0),99)</f>
        <v>19</v>
      </c>
      <c r="H393" s="13" t="n">
        <v>8</v>
      </c>
      <c r="I393" s="10" t="s">
        <v>1122</v>
      </c>
      <c r="J393" s="10"/>
      <c r="K393" s="10" t="s">
        <v>1109</v>
      </c>
      <c r="L393" s="10"/>
      <c r="M393" s="10" t="str">
        <f aca="false">IF(C393="","SIN ASIGNAR","ASIGNADO")</f>
        <v>ASIGNADO</v>
      </c>
      <c r="N393" s="10" t="s">
        <v>991</v>
      </c>
    </row>
    <row r="394" customFormat="false" ht="15" hidden="false" customHeight="false" outlineLevel="0" collapsed="false">
      <c r="A394" s="10" t="n">
        <v>389</v>
      </c>
      <c r="B394" s="10" t="s">
        <v>25</v>
      </c>
      <c r="C394" s="8" t="s">
        <v>799</v>
      </c>
      <c r="D394" s="10" t="str">
        <f aca="false">IF(C394="","",IFERROR(INDEX(NIVEL!$B:$B,MATCH(C394,NIVEL!$A:$A,0)),"¡Código no existe!"))</f>
        <v>Codo ranurado Tubasys RAL3000 D=1-1/2"</v>
      </c>
      <c r="E394" s="10" t="str">
        <f aca="false">IF(C394="","",IFERROR(INDEX(NIVEL!$C:$C,MATCH(C394,NIVEL!$A:$A,0)),""))</f>
        <v>Un.</v>
      </c>
      <c r="F394" s="10" t="s">
        <v>987</v>
      </c>
      <c r="G394" s="10" t="n">
        <f aca="false">IFERROR(MATCH(F394,LISTAS!$D$2:$D$22,0),99)</f>
        <v>1</v>
      </c>
      <c r="H394" s="13" t="n">
        <v>1</v>
      </c>
      <c r="I394" s="10" t="s">
        <v>1123</v>
      </c>
      <c r="J394" s="10"/>
      <c r="K394" s="10" t="s">
        <v>1109</v>
      </c>
      <c r="L394" s="10"/>
      <c r="M394" s="10" t="str">
        <f aca="false">IF(C394="","SIN ASIGNAR","ASIGNADO")</f>
        <v>ASIGNADO</v>
      </c>
      <c r="N394" s="10" t="s">
        <v>991</v>
      </c>
    </row>
    <row r="395" customFormat="false" ht="15" hidden="false" customHeight="false" outlineLevel="0" collapsed="false">
      <c r="A395" s="10" t="n">
        <v>390</v>
      </c>
      <c r="B395" s="10" t="s">
        <v>25</v>
      </c>
      <c r="C395" s="8" t="s">
        <v>799</v>
      </c>
      <c r="D395" s="10" t="str">
        <f aca="false">IF(C395="","",IFERROR(INDEX(NIVEL!$B:$B,MATCH(C395,NIVEL!$A:$A,0)),"¡Código no existe!"))</f>
        <v>Codo ranurado Tubasys RAL3000 D=1-1/2"</v>
      </c>
      <c r="E395" s="10" t="str">
        <f aca="false">IF(C395="","",IFERROR(INDEX(NIVEL!$C:$C,MATCH(C395,NIVEL!$A:$A,0)),""))</f>
        <v>Un.</v>
      </c>
      <c r="F395" s="10" t="s">
        <v>1031</v>
      </c>
      <c r="G395" s="10" t="n">
        <f aca="false">IFERROR(MATCH(F395,LISTAS!$D$2:$D$22,0),99)</f>
        <v>2</v>
      </c>
      <c r="H395" s="13" t="n">
        <v>1</v>
      </c>
      <c r="I395" s="10" t="s">
        <v>1123</v>
      </c>
      <c r="J395" s="10"/>
      <c r="K395" s="10" t="s">
        <v>1109</v>
      </c>
      <c r="L395" s="10"/>
      <c r="M395" s="10" t="str">
        <f aca="false">IF(C395="","SIN ASIGNAR","ASIGNADO")</f>
        <v>ASIGNADO</v>
      </c>
      <c r="N395" s="10" t="s">
        <v>991</v>
      </c>
    </row>
    <row r="396" customFormat="false" ht="15" hidden="false" customHeight="false" outlineLevel="0" collapsed="false">
      <c r="A396" s="10" t="n">
        <v>391</v>
      </c>
      <c r="B396" s="10" t="s">
        <v>25</v>
      </c>
      <c r="C396" s="8" t="s">
        <v>799</v>
      </c>
      <c r="D396" s="10" t="str">
        <f aca="false">IF(C396="","",IFERROR(INDEX(NIVEL!$B:$B,MATCH(C396,NIVEL!$A:$A,0)),"¡Código no existe!"))</f>
        <v>Codo ranurado Tubasys RAL3000 D=1-1/2"</v>
      </c>
      <c r="E396" s="10" t="str">
        <f aca="false">IF(C396="","",IFERROR(INDEX(NIVEL!$C:$C,MATCH(C396,NIVEL!$A:$A,0)),""))</f>
        <v>Un.</v>
      </c>
      <c r="F396" s="10" t="s">
        <v>1008</v>
      </c>
      <c r="G396" s="10" t="n">
        <f aca="false">IFERROR(MATCH(F396,LISTAS!$D$2:$D$22,0),99)</f>
        <v>3</v>
      </c>
      <c r="H396" s="13" t="n">
        <v>1</v>
      </c>
      <c r="I396" s="10" t="s">
        <v>1123</v>
      </c>
      <c r="J396" s="10"/>
      <c r="K396" s="10" t="s">
        <v>1109</v>
      </c>
      <c r="L396" s="10"/>
      <c r="M396" s="10" t="str">
        <f aca="false">IF(C396="","SIN ASIGNAR","ASIGNADO")</f>
        <v>ASIGNADO</v>
      </c>
      <c r="N396" s="10" t="s">
        <v>991</v>
      </c>
    </row>
    <row r="397" customFormat="false" ht="15" hidden="false" customHeight="false" outlineLevel="0" collapsed="false">
      <c r="A397" s="10" t="n">
        <v>392</v>
      </c>
      <c r="B397" s="10" t="s">
        <v>25</v>
      </c>
      <c r="C397" s="8" t="s">
        <v>799</v>
      </c>
      <c r="D397" s="10" t="str">
        <f aca="false">IF(C397="","",IFERROR(INDEX(NIVEL!$B:$B,MATCH(C397,NIVEL!$A:$A,0)),"¡Código no existe!"))</f>
        <v>Codo ranurado Tubasys RAL3000 D=1-1/2"</v>
      </c>
      <c r="E397" s="10" t="str">
        <f aca="false">IF(C397="","",IFERROR(INDEX(NIVEL!$C:$C,MATCH(C397,NIVEL!$A:$A,0)),""))</f>
        <v>Un.</v>
      </c>
      <c r="F397" s="10" t="s">
        <v>1011</v>
      </c>
      <c r="G397" s="10" t="n">
        <f aca="false">IFERROR(MATCH(F397,LISTAS!$D$2:$D$22,0),99)</f>
        <v>4</v>
      </c>
      <c r="H397" s="13" t="n">
        <v>1</v>
      </c>
      <c r="I397" s="10" t="s">
        <v>1123</v>
      </c>
      <c r="J397" s="10"/>
      <c r="K397" s="10" t="s">
        <v>1109</v>
      </c>
      <c r="L397" s="10"/>
      <c r="M397" s="10" t="str">
        <f aca="false">IF(C397="","SIN ASIGNAR","ASIGNADO")</f>
        <v>ASIGNADO</v>
      </c>
      <c r="N397" s="10" t="s">
        <v>991</v>
      </c>
    </row>
    <row r="398" customFormat="false" ht="15" hidden="false" customHeight="false" outlineLevel="0" collapsed="false">
      <c r="A398" s="10" t="n">
        <v>393</v>
      </c>
      <c r="B398" s="10" t="s">
        <v>25</v>
      </c>
      <c r="C398" s="8" t="s">
        <v>799</v>
      </c>
      <c r="D398" s="10" t="str">
        <f aca="false">IF(C398="","",IFERROR(INDEX(NIVEL!$B:$B,MATCH(C398,NIVEL!$A:$A,0)),"¡Código no existe!"))</f>
        <v>Codo ranurado Tubasys RAL3000 D=1-1/2"</v>
      </c>
      <c r="E398" s="10" t="str">
        <f aca="false">IF(C398="","",IFERROR(INDEX(NIVEL!$C:$C,MATCH(C398,NIVEL!$A:$A,0)),""))</f>
        <v>Un.</v>
      </c>
      <c r="F398" s="10" t="s">
        <v>1012</v>
      </c>
      <c r="G398" s="10" t="n">
        <f aca="false">IFERROR(MATCH(F398,LISTAS!$D$2:$D$22,0),99)</f>
        <v>5</v>
      </c>
      <c r="H398" s="13" t="n">
        <v>1</v>
      </c>
      <c r="I398" s="10" t="s">
        <v>1123</v>
      </c>
      <c r="J398" s="10"/>
      <c r="K398" s="10" t="s">
        <v>1109</v>
      </c>
      <c r="L398" s="10"/>
      <c r="M398" s="10" t="str">
        <f aca="false">IF(C398="","SIN ASIGNAR","ASIGNADO")</f>
        <v>ASIGNADO</v>
      </c>
      <c r="N398" s="10" t="s">
        <v>991</v>
      </c>
    </row>
    <row r="399" customFormat="false" ht="15" hidden="false" customHeight="false" outlineLevel="0" collapsed="false">
      <c r="A399" s="10" t="n">
        <v>394</v>
      </c>
      <c r="B399" s="10" t="s">
        <v>25</v>
      </c>
      <c r="C399" s="8" t="s">
        <v>799</v>
      </c>
      <c r="D399" s="10" t="str">
        <f aca="false">IF(C399="","",IFERROR(INDEX(NIVEL!$B:$B,MATCH(C399,NIVEL!$A:$A,0)),"¡Código no existe!"))</f>
        <v>Codo ranurado Tubasys RAL3000 D=1-1/2"</v>
      </c>
      <c r="E399" s="10" t="str">
        <f aca="false">IF(C399="","",IFERROR(INDEX(NIVEL!$C:$C,MATCH(C399,NIVEL!$A:$A,0)),""))</f>
        <v>Un.</v>
      </c>
      <c r="F399" s="10" t="s">
        <v>1013</v>
      </c>
      <c r="G399" s="10" t="n">
        <f aca="false">IFERROR(MATCH(F399,LISTAS!$D$2:$D$22,0),99)</f>
        <v>6</v>
      </c>
      <c r="H399" s="13" t="n">
        <v>2</v>
      </c>
      <c r="I399" s="10" t="s">
        <v>1123</v>
      </c>
      <c r="J399" s="10"/>
      <c r="K399" s="10" t="s">
        <v>1109</v>
      </c>
      <c r="L399" s="10"/>
      <c r="M399" s="10" t="str">
        <f aca="false">IF(C399="","SIN ASIGNAR","ASIGNADO")</f>
        <v>ASIGNADO</v>
      </c>
      <c r="N399" s="10" t="s">
        <v>991</v>
      </c>
    </row>
    <row r="400" customFormat="false" ht="15" hidden="false" customHeight="false" outlineLevel="0" collapsed="false">
      <c r="A400" s="10" t="n">
        <v>395</v>
      </c>
      <c r="B400" s="10" t="s">
        <v>25</v>
      </c>
      <c r="C400" s="8" t="s">
        <v>799</v>
      </c>
      <c r="D400" s="10" t="str">
        <f aca="false">IF(C400="","",IFERROR(INDEX(NIVEL!$B:$B,MATCH(C400,NIVEL!$A:$A,0)),"¡Código no existe!"))</f>
        <v>Codo ranurado Tubasys RAL3000 D=1-1/2"</v>
      </c>
      <c r="E400" s="10" t="str">
        <f aca="false">IF(C400="","",IFERROR(INDEX(NIVEL!$C:$C,MATCH(C400,NIVEL!$A:$A,0)),""))</f>
        <v>Un.</v>
      </c>
      <c r="F400" s="10" t="s">
        <v>1014</v>
      </c>
      <c r="G400" s="10" t="n">
        <f aca="false">IFERROR(MATCH(F400,LISTAS!$D$2:$D$22,0),99)</f>
        <v>7</v>
      </c>
      <c r="H400" s="13" t="n">
        <v>2</v>
      </c>
      <c r="I400" s="10" t="s">
        <v>1123</v>
      </c>
      <c r="J400" s="10"/>
      <c r="K400" s="10" t="s">
        <v>1109</v>
      </c>
      <c r="L400" s="10"/>
      <c r="M400" s="10" t="str">
        <f aca="false">IF(C400="","SIN ASIGNAR","ASIGNADO")</f>
        <v>ASIGNADO</v>
      </c>
      <c r="N400" s="10" t="s">
        <v>991</v>
      </c>
    </row>
    <row r="401" customFormat="false" ht="15" hidden="false" customHeight="false" outlineLevel="0" collapsed="false">
      <c r="A401" s="10" t="n">
        <v>396</v>
      </c>
      <c r="B401" s="10" t="s">
        <v>25</v>
      </c>
      <c r="C401" s="8" t="s">
        <v>799</v>
      </c>
      <c r="D401" s="10" t="str">
        <f aca="false">IF(C401="","",IFERROR(INDEX(NIVEL!$B:$B,MATCH(C401,NIVEL!$A:$A,0)),"¡Código no existe!"))</f>
        <v>Codo ranurado Tubasys RAL3000 D=1-1/2"</v>
      </c>
      <c r="E401" s="10" t="str">
        <f aca="false">IF(C401="","",IFERROR(INDEX(NIVEL!$C:$C,MATCH(C401,NIVEL!$A:$A,0)),""))</f>
        <v>Un.</v>
      </c>
      <c r="F401" s="10" t="s">
        <v>1017</v>
      </c>
      <c r="G401" s="10" t="n">
        <f aca="false">IFERROR(MATCH(F401,LISTAS!$D$2:$D$22,0),99)</f>
        <v>8</v>
      </c>
      <c r="H401" s="13" t="n">
        <v>2</v>
      </c>
      <c r="I401" s="10" t="s">
        <v>1123</v>
      </c>
      <c r="J401" s="10"/>
      <c r="K401" s="10" t="s">
        <v>1109</v>
      </c>
      <c r="L401" s="10"/>
      <c r="M401" s="10" t="str">
        <f aca="false">IF(C401="","SIN ASIGNAR","ASIGNADO")</f>
        <v>ASIGNADO</v>
      </c>
      <c r="N401" s="10" t="s">
        <v>991</v>
      </c>
    </row>
    <row r="402" customFormat="false" ht="15" hidden="false" customHeight="false" outlineLevel="0" collapsed="false">
      <c r="A402" s="10" t="n">
        <v>397</v>
      </c>
      <c r="B402" s="10" t="s">
        <v>25</v>
      </c>
      <c r="C402" s="8" t="s">
        <v>799</v>
      </c>
      <c r="D402" s="10" t="str">
        <f aca="false">IF(C402="","",IFERROR(INDEX(NIVEL!$B:$B,MATCH(C402,NIVEL!$A:$A,0)),"¡Código no existe!"))</f>
        <v>Codo ranurado Tubasys RAL3000 D=1-1/2"</v>
      </c>
      <c r="E402" s="10" t="str">
        <f aca="false">IF(C402="","",IFERROR(INDEX(NIVEL!$C:$C,MATCH(C402,NIVEL!$A:$A,0)),""))</f>
        <v>Un.</v>
      </c>
      <c r="F402" s="10" t="s">
        <v>1049</v>
      </c>
      <c r="G402" s="10" t="n">
        <f aca="false">IFERROR(MATCH(F402,LISTAS!$D$2:$D$22,0),99)</f>
        <v>9</v>
      </c>
      <c r="H402" s="13" t="n">
        <v>2</v>
      </c>
      <c r="I402" s="10" t="s">
        <v>1123</v>
      </c>
      <c r="J402" s="10"/>
      <c r="K402" s="10" t="s">
        <v>1109</v>
      </c>
      <c r="L402" s="10"/>
      <c r="M402" s="10" t="str">
        <f aca="false">IF(C402="","SIN ASIGNAR","ASIGNADO")</f>
        <v>ASIGNADO</v>
      </c>
      <c r="N402" s="10" t="s">
        <v>991</v>
      </c>
    </row>
    <row r="403" customFormat="false" ht="15" hidden="false" customHeight="false" outlineLevel="0" collapsed="false">
      <c r="A403" s="10" t="n">
        <v>398</v>
      </c>
      <c r="B403" s="10" t="s">
        <v>25</v>
      </c>
      <c r="C403" s="8" t="s">
        <v>799</v>
      </c>
      <c r="D403" s="10" t="str">
        <f aca="false">IF(C403="","",IFERROR(INDEX(NIVEL!$B:$B,MATCH(C403,NIVEL!$A:$A,0)),"¡Código no existe!"))</f>
        <v>Codo ranurado Tubasys RAL3000 D=1-1/2"</v>
      </c>
      <c r="E403" s="10" t="str">
        <f aca="false">IF(C403="","",IFERROR(INDEX(NIVEL!$C:$C,MATCH(C403,NIVEL!$A:$A,0)),""))</f>
        <v>Un.</v>
      </c>
      <c r="F403" s="10" t="s">
        <v>1050</v>
      </c>
      <c r="G403" s="10" t="n">
        <f aca="false">IFERROR(MATCH(F403,LISTAS!$D$2:$D$22,0),99)</f>
        <v>10</v>
      </c>
      <c r="H403" s="13" t="n">
        <v>2</v>
      </c>
      <c r="I403" s="10" t="s">
        <v>1123</v>
      </c>
      <c r="J403" s="10"/>
      <c r="K403" s="10" t="s">
        <v>1109</v>
      </c>
      <c r="L403" s="10"/>
      <c r="M403" s="10" t="str">
        <f aca="false">IF(C403="","SIN ASIGNAR","ASIGNADO")</f>
        <v>ASIGNADO</v>
      </c>
      <c r="N403" s="10" t="s">
        <v>991</v>
      </c>
    </row>
    <row r="404" customFormat="false" ht="15" hidden="false" customHeight="false" outlineLevel="0" collapsed="false">
      <c r="A404" s="10" t="n">
        <v>399</v>
      </c>
      <c r="B404" s="10" t="s">
        <v>25</v>
      </c>
      <c r="C404" s="8" t="s">
        <v>799</v>
      </c>
      <c r="D404" s="10" t="str">
        <f aca="false">IF(C404="","",IFERROR(INDEX(NIVEL!$B:$B,MATCH(C404,NIVEL!$A:$A,0)),"¡Código no existe!"))</f>
        <v>Codo ranurado Tubasys RAL3000 D=1-1/2"</v>
      </c>
      <c r="E404" s="10" t="str">
        <f aca="false">IF(C404="","",IFERROR(INDEX(NIVEL!$C:$C,MATCH(C404,NIVEL!$A:$A,0)),""))</f>
        <v>Un.</v>
      </c>
      <c r="F404" s="10" t="s">
        <v>1051</v>
      </c>
      <c r="G404" s="10" t="n">
        <f aca="false">IFERROR(MATCH(F404,LISTAS!$D$2:$D$22,0),99)</f>
        <v>11</v>
      </c>
      <c r="H404" s="13" t="n">
        <v>2</v>
      </c>
      <c r="I404" s="10" t="s">
        <v>1123</v>
      </c>
      <c r="J404" s="10"/>
      <c r="K404" s="10" t="s">
        <v>1109</v>
      </c>
      <c r="L404" s="10"/>
      <c r="M404" s="10" t="str">
        <f aca="false">IF(C404="","SIN ASIGNAR","ASIGNADO")</f>
        <v>ASIGNADO</v>
      </c>
      <c r="N404" s="10" t="s">
        <v>991</v>
      </c>
    </row>
    <row r="405" customFormat="false" ht="15" hidden="false" customHeight="false" outlineLevel="0" collapsed="false">
      <c r="A405" s="10" t="n">
        <v>400</v>
      </c>
      <c r="B405" s="10" t="s">
        <v>25</v>
      </c>
      <c r="C405" s="8" t="s">
        <v>799</v>
      </c>
      <c r="D405" s="10" t="str">
        <f aca="false">IF(C405="","",IFERROR(INDEX(NIVEL!$B:$B,MATCH(C405,NIVEL!$A:$A,0)),"¡Código no existe!"))</f>
        <v>Codo ranurado Tubasys RAL3000 D=1-1/2"</v>
      </c>
      <c r="E405" s="10" t="str">
        <f aca="false">IF(C405="","",IFERROR(INDEX(NIVEL!$C:$C,MATCH(C405,NIVEL!$A:$A,0)),""))</f>
        <v>Un.</v>
      </c>
      <c r="F405" s="10" t="s">
        <v>1052</v>
      </c>
      <c r="G405" s="10" t="n">
        <f aca="false">IFERROR(MATCH(F405,LISTAS!$D$2:$D$22,0),99)</f>
        <v>12</v>
      </c>
      <c r="H405" s="13" t="n">
        <v>2</v>
      </c>
      <c r="I405" s="10" t="s">
        <v>1123</v>
      </c>
      <c r="J405" s="10"/>
      <c r="K405" s="10" t="s">
        <v>1109</v>
      </c>
      <c r="L405" s="10"/>
      <c r="M405" s="10" t="str">
        <f aca="false">IF(C405="","SIN ASIGNAR","ASIGNADO")</f>
        <v>ASIGNADO</v>
      </c>
      <c r="N405" s="10" t="s">
        <v>991</v>
      </c>
    </row>
    <row r="406" customFormat="false" ht="15" hidden="false" customHeight="false" outlineLevel="0" collapsed="false">
      <c r="A406" s="10" t="n">
        <v>401</v>
      </c>
      <c r="B406" s="10" t="s">
        <v>25</v>
      </c>
      <c r="C406" s="8" t="s">
        <v>799</v>
      </c>
      <c r="D406" s="10" t="str">
        <f aca="false">IF(C406="","",IFERROR(INDEX(NIVEL!$B:$B,MATCH(C406,NIVEL!$A:$A,0)),"¡Código no existe!"))</f>
        <v>Codo ranurado Tubasys RAL3000 D=1-1/2"</v>
      </c>
      <c r="E406" s="10" t="str">
        <f aca="false">IF(C406="","",IFERROR(INDEX(NIVEL!$C:$C,MATCH(C406,NIVEL!$A:$A,0)),""))</f>
        <v>Un.</v>
      </c>
      <c r="F406" s="10" t="s">
        <v>1053</v>
      </c>
      <c r="G406" s="10" t="n">
        <f aca="false">IFERROR(MATCH(F406,LISTAS!$D$2:$D$22,0),99)</f>
        <v>13</v>
      </c>
      <c r="H406" s="13" t="n">
        <v>2</v>
      </c>
      <c r="I406" s="10" t="s">
        <v>1123</v>
      </c>
      <c r="J406" s="10"/>
      <c r="K406" s="10" t="s">
        <v>1109</v>
      </c>
      <c r="L406" s="10"/>
      <c r="M406" s="10" t="str">
        <f aca="false">IF(C406="","SIN ASIGNAR","ASIGNADO")</f>
        <v>ASIGNADO</v>
      </c>
      <c r="N406" s="10" t="s">
        <v>991</v>
      </c>
    </row>
    <row r="407" customFormat="false" ht="15" hidden="false" customHeight="false" outlineLevel="0" collapsed="false">
      <c r="A407" s="10" t="n">
        <v>402</v>
      </c>
      <c r="B407" s="10" t="s">
        <v>25</v>
      </c>
      <c r="C407" s="8" t="s">
        <v>799</v>
      </c>
      <c r="D407" s="10" t="str">
        <f aca="false">IF(C407="","",IFERROR(INDEX(NIVEL!$B:$B,MATCH(C407,NIVEL!$A:$A,0)),"¡Código no existe!"))</f>
        <v>Codo ranurado Tubasys RAL3000 D=1-1/2"</v>
      </c>
      <c r="E407" s="10" t="str">
        <f aca="false">IF(C407="","",IFERROR(INDEX(NIVEL!$C:$C,MATCH(C407,NIVEL!$A:$A,0)),""))</f>
        <v>Un.</v>
      </c>
      <c r="F407" s="10" t="s">
        <v>1054</v>
      </c>
      <c r="G407" s="10" t="n">
        <f aca="false">IFERROR(MATCH(F407,LISTAS!$D$2:$D$22,0),99)</f>
        <v>14</v>
      </c>
      <c r="H407" s="13" t="n">
        <v>2</v>
      </c>
      <c r="I407" s="10" t="s">
        <v>1123</v>
      </c>
      <c r="J407" s="10"/>
      <c r="K407" s="10" t="s">
        <v>1109</v>
      </c>
      <c r="L407" s="10"/>
      <c r="M407" s="10" t="str">
        <f aca="false">IF(C407="","SIN ASIGNAR","ASIGNADO")</f>
        <v>ASIGNADO</v>
      </c>
      <c r="N407" s="10" t="s">
        <v>991</v>
      </c>
    </row>
    <row r="408" customFormat="false" ht="15" hidden="false" customHeight="false" outlineLevel="0" collapsed="false">
      <c r="A408" s="10" t="n">
        <v>403</v>
      </c>
      <c r="B408" s="10" t="s">
        <v>25</v>
      </c>
      <c r="C408" s="8" t="s">
        <v>799</v>
      </c>
      <c r="D408" s="10" t="str">
        <f aca="false">IF(C408="","",IFERROR(INDEX(NIVEL!$B:$B,MATCH(C408,NIVEL!$A:$A,0)),"¡Código no existe!"))</f>
        <v>Codo ranurado Tubasys RAL3000 D=1-1/2"</v>
      </c>
      <c r="E408" s="10" t="str">
        <f aca="false">IF(C408="","",IFERROR(INDEX(NIVEL!$C:$C,MATCH(C408,NIVEL!$A:$A,0)),""))</f>
        <v>Un.</v>
      </c>
      <c r="F408" s="10" t="s">
        <v>1055</v>
      </c>
      <c r="G408" s="10" t="n">
        <f aca="false">IFERROR(MATCH(F408,LISTAS!$D$2:$D$22,0),99)</f>
        <v>15</v>
      </c>
      <c r="H408" s="13" t="n">
        <v>2</v>
      </c>
      <c r="I408" s="10" t="s">
        <v>1123</v>
      </c>
      <c r="J408" s="10"/>
      <c r="K408" s="10" t="s">
        <v>1109</v>
      </c>
      <c r="L408" s="10"/>
      <c r="M408" s="10" t="str">
        <f aca="false">IF(C408="","SIN ASIGNAR","ASIGNADO")</f>
        <v>ASIGNADO</v>
      </c>
      <c r="N408" s="10" t="s">
        <v>991</v>
      </c>
    </row>
    <row r="409" customFormat="false" ht="15" hidden="false" customHeight="false" outlineLevel="0" collapsed="false">
      <c r="A409" s="10" t="n">
        <v>404</v>
      </c>
      <c r="B409" s="10" t="s">
        <v>25</v>
      </c>
      <c r="C409" s="8" t="s">
        <v>799</v>
      </c>
      <c r="D409" s="10" t="str">
        <f aca="false">IF(C409="","",IFERROR(INDEX(NIVEL!$B:$B,MATCH(C409,NIVEL!$A:$A,0)),"¡Código no existe!"))</f>
        <v>Codo ranurado Tubasys RAL3000 D=1-1/2"</v>
      </c>
      <c r="E409" s="10" t="str">
        <f aca="false">IF(C409="","",IFERROR(INDEX(NIVEL!$C:$C,MATCH(C409,NIVEL!$A:$A,0)),""))</f>
        <v>Un.</v>
      </c>
      <c r="F409" s="10" t="s">
        <v>1056</v>
      </c>
      <c r="G409" s="10" t="n">
        <f aca="false">IFERROR(MATCH(F409,LISTAS!$D$2:$D$22,0),99)</f>
        <v>16</v>
      </c>
      <c r="H409" s="13" t="n">
        <v>2</v>
      </c>
      <c r="I409" s="10" t="s">
        <v>1123</v>
      </c>
      <c r="J409" s="10"/>
      <c r="K409" s="10" t="s">
        <v>1109</v>
      </c>
      <c r="L409" s="10"/>
      <c r="M409" s="10" t="str">
        <f aca="false">IF(C409="","SIN ASIGNAR","ASIGNADO")</f>
        <v>ASIGNADO</v>
      </c>
      <c r="N409" s="10" t="s">
        <v>991</v>
      </c>
    </row>
    <row r="410" customFormat="false" ht="15" hidden="false" customHeight="false" outlineLevel="0" collapsed="false">
      <c r="A410" s="10" t="n">
        <v>405</v>
      </c>
      <c r="B410" s="10" t="s">
        <v>25</v>
      </c>
      <c r="C410" s="8" t="s">
        <v>799</v>
      </c>
      <c r="D410" s="10" t="str">
        <f aca="false">IF(C410="","",IFERROR(INDEX(NIVEL!$B:$B,MATCH(C410,NIVEL!$A:$A,0)),"¡Código no existe!"))</f>
        <v>Codo ranurado Tubasys RAL3000 D=1-1/2"</v>
      </c>
      <c r="E410" s="10" t="str">
        <f aca="false">IF(C410="","",IFERROR(INDEX(NIVEL!$C:$C,MATCH(C410,NIVEL!$A:$A,0)),""))</f>
        <v>Un.</v>
      </c>
      <c r="F410" s="10" t="s">
        <v>1057</v>
      </c>
      <c r="G410" s="10" t="n">
        <f aca="false">IFERROR(MATCH(F410,LISTAS!$D$2:$D$22,0),99)</f>
        <v>17</v>
      </c>
      <c r="H410" s="13" t="n">
        <v>2</v>
      </c>
      <c r="I410" s="10" t="s">
        <v>1123</v>
      </c>
      <c r="J410" s="10"/>
      <c r="K410" s="10" t="s">
        <v>1109</v>
      </c>
      <c r="L410" s="10"/>
      <c r="M410" s="10" t="str">
        <f aca="false">IF(C410="","SIN ASIGNAR","ASIGNADO")</f>
        <v>ASIGNADO</v>
      </c>
      <c r="N410" s="10" t="s">
        <v>991</v>
      </c>
    </row>
    <row r="411" customFormat="false" ht="15" hidden="false" customHeight="false" outlineLevel="0" collapsed="false">
      <c r="A411" s="10" t="n">
        <v>406</v>
      </c>
      <c r="B411" s="10" t="s">
        <v>25</v>
      </c>
      <c r="C411" s="8" t="s">
        <v>799</v>
      </c>
      <c r="D411" s="10" t="str">
        <f aca="false">IF(C411="","",IFERROR(INDEX(NIVEL!$B:$B,MATCH(C411,NIVEL!$A:$A,0)),"¡Código no existe!"))</f>
        <v>Codo ranurado Tubasys RAL3000 D=1-1/2"</v>
      </c>
      <c r="E411" s="10" t="str">
        <f aca="false">IF(C411="","",IFERROR(INDEX(NIVEL!$C:$C,MATCH(C411,NIVEL!$A:$A,0)),""))</f>
        <v>Un.</v>
      </c>
      <c r="F411" s="10" t="s">
        <v>1058</v>
      </c>
      <c r="G411" s="10" t="n">
        <f aca="false">IFERROR(MATCH(F411,LISTAS!$D$2:$D$22,0),99)</f>
        <v>18</v>
      </c>
      <c r="H411" s="13" t="n">
        <v>2</v>
      </c>
      <c r="I411" s="10" t="s">
        <v>1123</v>
      </c>
      <c r="J411" s="10"/>
      <c r="K411" s="10" t="s">
        <v>1109</v>
      </c>
      <c r="L411" s="10"/>
      <c r="M411" s="10" t="str">
        <f aca="false">IF(C411="","SIN ASIGNAR","ASIGNADO")</f>
        <v>ASIGNADO</v>
      </c>
      <c r="N411" s="10" t="s">
        <v>991</v>
      </c>
    </row>
    <row r="412" customFormat="false" ht="15" hidden="false" customHeight="false" outlineLevel="0" collapsed="false">
      <c r="A412" s="10" t="n">
        <v>407</v>
      </c>
      <c r="B412" s="10" t="s">
        <v>25</v>
      </c>
      <c r="C412" s="8" t="s">
        <v>799</v>
      </c>
      <c r="D412" s="10" t="str">
        <f aca="false">IF(C412="","",IFERROR(INDEX(NIVEL!$B:$B,MATCH(C412,NIVEL!$A:$A,0)),"¡Código no existe!"))</f>
        <v>Codo ranurado Tubasys RAL3000 D=1-1/2"</v>
      </c>
      <c r="E412" s="10" t="str">
        <f aca="false">IF(C412="","",IFERROR(INDEX(NIVEL!$C:$C,MATCH(C412,NIVEL!$A:$A,0)),""))</f>
        <v>Un.</v>
      </c>
      <c r="F412" s="10" t="s">
        <v>1018</v>
      </c>
      <c r="G412" s="10" t="n">
        <f aca="false">IFERROR(MATCH(F412,LISTAS!$D$2:$D$22,0),99)</f>
        <v>19</v>
      </c>
      <c r="H412" s="13" t="n">
        <v>2</v>
      </c>
      <c r="I412" s="10" t="s">
        <v>1123</v>
      </c>
      <c r="J412" s="10"/>
      <c r="K412" s="10" t="s">
        <v>1109</v>
      </c>
      <c r="L412" s="10"/>
      <c r="M412" s="10" t="str">
        <f aca="false">IF(C412="","SIN ASIGNAR","ASIGNADO")</f>
        <v>ASIGNADO</v>
      </c>
      <c r="N412" s="10" t="s">
        <v>991</v>
      </c>
    </row>
    <row r="413" customFormat="false" ht="15" hidden="false" customHeight="false" outlineLevel="0" collapsed="false">
      <c r="A413" s="10" t="n">
        <v>408</v>
      </c>
      <c r="B413" s="10" t="s">
        <v>25</v>
      </c>
      <c r="C413" s="8" t="s">
        <v>779</v>
      </c>
      <c r="D413" s="10" t="str">
        <f aca="false">IF(C413="","",IFERROR(INDEX(NIVEL!$B:$B,MATCH(C413,NIVEL!$A:$A,0)),"¡Código no existe!"))</f>
        <v>Acople ranurado D=1-1/4"</v>
      </c>
      <c r="E413" s="10" t="str">
        <f aca="false">IF(C413="","",IFERROR(INDEX(NIVEL!$C:$C,MATCH(C413,NIVEL!$A:$A,0)),""))</f>
        <v>Un.</v>
      </c>
      <c r="F413" s="10" t="s">
        <v>1008</v>
      </c>
      <c r="G413" s="10" t="n">
        <f aca="false">IFERROR(MATCH(F413,LISTAS!$D$2:$D$22,0),99)</f>
        <v>3</v>
      </c>
      <c r="H413" s="13" t="n">
        <v>2</v>
      </c>
      <c r="I413" s="10" t="s">
        <v>1124</v>
      </c>
      <c r="J413" s="10"/>
      <c r="K413" s="10" t="s">
        <v>1125</v>
      </c>
      <c r="L413" s="10"/>
      <c r="M413" s="10" t="str">
        <f aca="false">IF(C413="","SIN ASIGNAR","ASIGNADO")</f>
        <v>ASIGNADO</v>
      </c>
      <c r="N413" s="10" t="s">
        <v>991</v>
      </c>
    </row>
    <row r="414" customFormat="false" ht="15" hidden="false" customHeight="false" outlineLevel="0" collapsed="false">
      <c r="A414" s="10" t="n">
        <v>409</v>
      </c>
      <c r="B414" s="10" t="s">
        <v>25</v>
      </c>
      <c r="C414" s="8" t="s">
        <v>785</v>
      </c>
      <c r="D414" s="10" t="str">
        <f aca="false">IF(C414="","",IFERROR(INDEX(NIVEL!$B:$B,MATCH(C414,NIVEL!$A:$A,0)),"¡Código no existe!"))</f>
        <v>Acople ranurado D=2 1/2"</v>
      </c>
      <c r="E414" s="10" t="str">
        <f aca="false">IF(C414="","",IFERROR(INDEX(NIVEL!$C:$C,MATCH(C414,NIVEL!$A:$A,0)),""))</f>
        <v>Un.</v>
      </c>
      <c r="F414" s="10" t="s">
        <v>1008</v>
      </c>
      <c r="G414" s="10" t="n">
        <f aca="false">IFERROR(MATCH(F414,LISTAS!$D$2:$D$22,0),99)</f>
        <v>3</v>
      </c>
      <c r="H414" s="13" t="n">
        <v>1</v>
      </c>
      <c r="I414" s="10" t="s">
        <v>1124</v>
      </c>
      <c r="J414" s="10"/>
      <c r="K414" s="10" t="s">
        <v>1047</v>
      </c>
      <c r="L414" s="10"/>
      <c r="M414" s="10" t="str">
        <f aca="false">IF(C414="","SIN ASIGNAR","ASIGNADO")</f>
        <v>ASIGNADO</v>
      </c>
      <c r="N414" s="10" t="s">
        <v>991</v>
      </c>
    </row>
    <row r="415" customFormat="false" ht="15" hidden="false" customHeight="false" outlineLevel="0" collapsed="false">
      <c r="A415" s="10" t="n">
        <v>410</v>
      </c>
      <c r="B415" s="10" t="s">
        <v>25</v>
      </c>
      <c r="C415" s="8" t="s">
        <v>779</v>
      </c>
      <c r="D415" s="10" t="str">
        <f aca="false">IF(C415="","",IFERROR(INDEX(NIVEL!$B:$B,MATCH(C415,NIVEL!$A:$A,0)),"¡Código no existe!"))</f>
        <v>Acople ranurado D=1-1/4"</v>
      </c>
      <c r="E415" s="10" t="str">
        <f aca="false">IF(C415="","",IFERROR(INDEX(NIVEL!$C:$C,MATCH(C415,NIVEL!$A:$A,0)),""))</f>
        <v>Un.</v>
      </c>
      <c r="F415" s="10" t="s">
        <v>1011</v>
      </c>
      <c r="G415" s="10" t="n">
        <f aca="false">IFERROR(MATCH(F415,LISTAS!$D$2:$D$22,0),99)</f>
        <v>4</v>
      </c>
      <c r="H415" s="13" t="n">
        <v>2</v>
      </c>
      <c r="I415" s="10" t="s">
        <v>1124</v>
      </c>
      <c r="J415" s="10"/>
      <c r="K415" s="10" t="s">
        <v>1125</v>
      </c>
      <c r="L415" s="10"/>
      <c r="M415" s="10" t="str">
        <f aca="false">IF(C415="","SIN ASIGNAR","ASIGNADO")</f>
        <v>ASIGNADO</v>
      </c>
      <c r="N415" s="10" t="s">
        <v>991</v>
      </c>
    </row>
    <row r="416" customFormat="false" ht="15" hidden="false" customHeight="false" outlineLevel="0" collapsed="false">
      <c r="A416" s="10" t="n">
        <v>411</v>
      </c>
      <c r="B416" s="10" t="s">
        <v>25</v>
      </c>
      <c r="C416" s="8" t="s">
        <v>779</v>
      </c>
      <c r="D416" s="10" t="str">
        <f aca="false">IF(C416="","",IFERROR(INDEX(NIVEL!$B:$B,MATCH(C416,NIVEL!$A:$A,0)),"¡Código no existe!"))</f>
        <v>Acople ranurado D=1-1/4"</v>
      </c>
      <c r="E416" s="10" t="str">
        <f aca="false">IF(C416="","",IFERROR(INDEX(NIVEL!$C:$C,MATCH(C416,NIVEL!$A:$A,0)),""))</f>
        <v>Un.</v>
      </c>
      <c r="F416" s="10" t="s">
        <v>1012</v>
      </c>
      <c r="G416" s="10" t="n">
        <f aca="false">IFERROR(MATCH(F416,LISTAS!$D$2:$D$22,0),99)</f>
        <v>5</v>
      </c>
      <c r="H416" s="13" t="n">
        <v>2</v>
      </c>
      <c r="I416" s="10" t="s">
        <v>1124</v>
      </c>
      <c r="J416" s="10"/>
      <c r="K416" s="10" t="s">
        <v>1125</v>
      </c>
      <c r="L416" s="10"/>
      <c r="M416" s="10" t="str">
        <f aca="false">IF(C416="","SIN ASIGNAR","ASIGNADO")</f>
        <v>ASIGNADO</v>
      </c>
      <c r="N416" s="10" t="s">
        <v>991</v>
      </c>
    </row>
    <row r="417" customFormat="false" ht="15" hidden="false" customHeight="false" outlineLevel="0" collapsed="false">
      <c r="A417" s="10" t="n">
        <v>412</v>
      </c>
      <c r="B417" s="10" t="s">
        <v>25</v>
      </c>
      <c r="C417" s="8" t="s">
        <v>779</v>
      </c>
      <c r="D417" s="10" t="str">
        <f aca="false">IF(C417="","",IFERROR(INDEX(NIVEL!$B:$B,MATCH(C417,NIVEL!$A:$A,0)),"¡Código no existe!"))</f>
        <v>Acople ranurado D=1-1/4"</v>
      </c>
      <c r="E417" s="10" t="str">
        <f aca="false">IF(C417="","",IFERROR(INDEX(NIVEL!$C:$C,MATCH(C417,NIVEL!$A:$A,0)),""))</f>
        <v>Un.</v>
      </c>
      <c r="F417" s="10" t="s">
        <v>1013</v>
      </c>
      <c r="G417" s="10" t="n">
        <f aca="false">IFERROR(MATCH(F417,LISTAS!$D$2:$D$22,0),99)</f>
        <v>6</v>
      </c>
      <c r="H417" s="13" t="n">
        <v>2</v>
      </c>
      <c r="I417" s="10" t="s">
        <v>1124</v>
      </c>
      <c r="J417" s="10"/>
      <c r="K417" s="10" t="s">
        <v>1125</v>
      </c>
      <c r="L417" s="10"/>
      <c r="M417" s="10" t="str">
        <f aca="false">IF(C417="","SIN ASIGNAR","ASIGNADO")</f>
        <v>ASIGNADO</v>
      </c>
      <c r="N417" s="10" t="s">
        <v>991</v>
      </c>
    </row>
    <row r="418" customFormat="false" ht="15" hidden="false" customHeight="false" outlineLevel="0" collapsed="false">
      <c r="A418" s="10" t="n">
        <v>413</v>
      </c>
      <c r="B418" s="10" t="s">
        <v>25</v>
      </c>
      <c r="C418" s="8" t="s">
        <v>779</v>
      </c>
      <c r="D418" s="10" t="str">
        <f aca="false">IF(C418="","",IFERROR(INDEX(NIVEL!$B:$B,MATCH(C418,NIVEL!$A:$A,0)),"¡Código no existe!"))</f>
        <v>Acople ranurado D=1-1/4"</v>
      </c>
      <c r="E418" s="10" t="str">
        <f aca="false">IF(C418="","",IFERROR(INDEX(NIVEL!$C:$C,MATCH(C418,NIVEL!$A:$A,0)),""))</f>
        <v>Un.</v>
      </c>
      <c r="F418" s="10" t="s">
        <v>1014</v>
      </c>
      <c r="G418" s="10" t="n">
        <f aca="false">IFERROR(MATCH(F418,LISTAS!$D$2:$D$22,0),99)</f>
        <v>7</v>
      </c>
      <c r="H418" s="13" t="n">
        <v>4</v>
      </c>
      <c r="I418" s="10" t="s">
        <v>1124</v>
      </c>
      <c r="J418" s="10"/>
      <c r="K418" s="10" t="s">
        <v>1125</v>
      </c>
      <c r="L418" s="10"/>
      <c r="M418" s="10" t="str">
        <f aca="false">IF(C418="","SIN ASIGNAR","ASIGNADO")</f>
        <v>ASIGNADO</v>
      </c>
      <c r="N418" s="10" t="s">
        <v>991</v>
      </c>
    </row>
    <row r="419" customFormat="false" ht="15" hidden="false" customHeight="false" outlineLevel="0" collapsed="false">
      <c r="A419" s="10" t="n">
        <v>414</v>
      </c>
      <c r="B419" s="10" t="s">
        <v>25</v>
      </c>
      <c r="C419" s="8" t="s">
        <v>785</v>
      </c>
      <c r="D419" s="10" t="str">
        <f aca="false">IF(C419="","",IFERROR(INDEX(NIVEL!$B:$B,MATCH(C419,NIVEL!$A:$A,0)),"¡Código no existe!"))</f>
        <v>Acople ranurado D=2 1/2"</v>
      </c>
      <c r="E419" s="10" t="str">
        <f aca="false">IF(C419="","",IFERROR(INDEX(NIVEL!$C:$C,MATCH(C419,NIVEL!$A:$A,0)),""))</f>
        <v>Un.</v>
      </c>
      <c r="F419" s="10" t="s">
        <v>1014</v>
      </c>
      <c r="G419" s="10" t="n">
        <f aca="false">IFERROR(MATCH(F419,LISTAS!$D$2:$D$22,0),99)</f>
        <v>7</v>
      </c>
      <c r="H419" s="13" t="n">
        <v>1</v>
      </c>
      <c r="I419" s="10" t="s">
        <v>1124</v>
      </c>
      <c r="J419" s="10"/>
      <c r="K419" s="10" t="s">
        <v>1047</v>
      </c>
      <c r="L419" s="10"/>
      <c r="M419" s="10" t="str">
        <f aca="false">IF(C419="","SIN ASIGNAR","ASIGNADO")</f>
        <v>ASIGNADO</v>
      </c>
      <c r="N419" s="10" t="s">
        <v>991</v>
      </c>
    </row>
    <row r="420" customFormat="false" ht="15" hidden="false" customHeight="false" outlineLevel="0" collapsed="false">
      <c r="A420" s="10" t="n">
        <v>415</v>
      </c>
      <c r="B420" s="10" t="s">
        <v>25</v>
      </c>
      <c r="C420" s="8" t="s">
        <v>787</v>
      </c>
      <c r="D420" s="10" t="str">
        <f aca="false">IF(C420="","",IFERROR(INDEX(NIVEL!$B:$B,MATCH(C420,NIVEL!$A:$A,0)),"¡Código no existe!"))</f>
        <v>Acople ranurado D=3"</v>
      </c>
      <c r="E420" s="10" t="str">
        <f aca="false">IF(C420="","",IFERROR(INDEX(NIVEL!$C:$C,MATCH(C420,NIVEL!$A:$A,0)),""))</f>
        <v>Un.</v>
      </c>
      <c r="F420" s="10" t="s">
        <v>1014</v>
      </c>
      <c r="G420" s="10" t="n">
        <f aca="false">IFERROR(MATCH(F420,LISTAS!$D$2:$D$22,0),99)</f>
        <v>7</v>
      </c>
      <c r="H420" s="13" t="n">
        <v>1</v>
      </c>
      <c r="I420" s="10" t="s">
        <v>1124</v>
      </c>
      <c r="J420" s="10"/>
      <c r="K420" s="10" t="s">
        <v>1041</v>
      </c>
      <c r="L420" s="10"/>
      <c r="M420" s="10" t="str">
        <f aca="false">IF(C420="","SIN ASIGNAR","ASIGNADO")</f>
        <v>ASIGNADO</v>
      </c>
      <c r="N420" s="10" t="s">
        <v>991</v>
      </c>
    </row>
    <row r="421" customFormat="false" ht="15" hidden="false" customHeight="false" outlineLevel="0" collapsed="false">
      <c r="A421" s="10" t="n">
        <v>416</v>
      </c>
      <c r="B421" s="10" t="s">
        <v>25</v>
      </c>
      <c r="C421" s="8" t="s">
        <v>779</v>
      </c>
      <c r="D421" s="10" t="str">
        <f aca="false">IF(C421="","",IFERROR(INDEX(NIVEL!$B:$B,MATCH(C421,NIVEL!$A:$A,0)),"¡Código no existe!"))</f>
        <v>Acople ranurado D=1-1/4"</v>
      </c>
      <c r="E421" s="10" t="str">
        <f aca="false">IF(C421="","",IFERROR(INDEX(NIVEL!$C:$C,MATCH(C421,NIVEL!$A:$A,0)),""))</f>
        <v>Un.</v>
      </c>
      <c r="F421" s="10" t="s">
        <v>1017</v>
      </c>
      <c r="G421" s="10" t="n">
        <f aca="false">IFERROR(MATCH(F421,LISTAS!$D$2:$D$22,0),99)</f>
        <v>8</v>
      </c>
      <c r="H421" s="13" t="n">
        <v>2</v>
      </c>
      <c r="I421" s="10" t="s">
        <v>1124</v>
      </c>
      <c r="J421" s="10"/>
      <c r="K421" s="10" t="s">
        <v>1125</v>
      </c>
      <c r="L421" s="10"/>
      <c r="M421" s="10" t="str">
        <f aca="false">IF(C421="","SIN ASIGNAR","ASIGNADO")</f>
        <v>ASIGNADO</v>
      </c>
      <c r="N421" s="10" t="s">
        <v>991</v>
      </c>
    </row>
    <row r="422" customFormat="false" ht="15" hidden="false" customHeight="false" outlineLevel="0" collapsed="false">
      <c r="A422" s="10" t="n">
        <v>417</v>
      </c>
      <c r="B422" s="10" t="s">
        <v>25</v>
      </c>
      <c r="C422" s="8" t="s">
        <v>781</v>
      </c>
      <c r="D422" s="10" t="str">
        <f aca="false">IF(C422="","",IFERROR(INDEX(NIVEL!$B:$B,MATCH(C422,NIVEL!$A:$A,0)),"¡Código no existe!"))</f>
        <v>Acople ranurado D=1-1/2"</v>
      </c>
      <c r="E422" s="10" t="str">
        <f aca="false">IF(C422="","",IFERROR(INDEX(NIVEL!$C:$C,MATCH(C422,NIVEL!$A:$A,0)),""))</f>
        <v>Un.</v>
      </c>
      <c r="F422" s="10" t="s">
        <v>1017</v>
      </c>
      <c r="G422" s="10" t="n">
        <f aca="false">IFERROR(MATCH(F422,LISTAS!$D$2:$D$22,0),99)</f>
        <v>8</v>
      </c>
      <c r="H422" s="13" t="n">
        <v>4</v>
      </c>
      <c r="I422" s="10" t="s">
        <v>1124</v>
      </c>
      <c r="J422" s="10"/>
      <c r="K422" s="10" t="s">
        <v>1044</v>
      </c>
      <c r="L422" s="10"/>
      <c r="M422" s="10" t="str">
        <f aca="false">IF(C422="","SIN ASIGNAR","ASIGNADO")</f>
        <v>ASIGNADO</v>
      </c>
      <c r="N422" s="10" t="s">
        <v>991</v>
      </c>
    </row>
    <row r="423" customFormat="false" ht="15" hidden="false" customHeight="false" outlineLevel="0" collapsed="false">
      <c r="A423" s="10" t="n">
        <v>418</v>
      </c>
      <c r="B423" s="10" t="s">
        <v>25</v>
      </c>
      <c r="C423" s="8" t="s">
        <v>783</v>
      </c>
      <c r="D423" s="10" t="str">
        <f aca="false">IF(C423="","",IFERROR(INDEX(NIVEL!$B:$B,MATCH(C423,NIVEL!$A:$A,0)),"¡Código no existe!"))</f>
        <v>Acople ranurado D=2"</v>
      </c>
      <c r="E423" s="10" t="str">
        <f aca="false">IF(C423="","",IFERROR(INDEX(NIVEL!$C:$C,MATCH(C423,NIVEL!$A:$A,0)),""))</f>
        <v>Un.</v>
      </c>
      <c r="F423" s="10" t="s">
        <v>1017</v>
      </c>
      <c r="G423" s="10" t="n">
        <f aca="false">IFERROR(MATCH(F423,LISTAS!$D$2:$D$22,0),99)</f>
        <v>8</v>
      </c>
      <c r="H423" s="13" t="n">
        <v>1</v>
      </c>
      <c r="I423" s="10" t="s">
        <v>1124</v>
      </c>
      <c r="J423" s="10"/>
      <c r="K423" s="10" t="s">
        <v>1046</v>
      </c>
      <c r="L423" s="10"/>
      <c r="M423" s="10" t="str">
        <f aca="false">IF(C423="","SIN ASIGNAR","ASIGNADO")</f>
        <v>ASIGNADO</v>
      </c>
      <c r="N423" s="10" t="s">
        <v>991</v>
      </c>
    </row>
    <row r="424" customFormat="false" ht="15" hidden="false" customHeight="false" outlineLevel="0" collapsed="false">
      <c r="A424" s="10" t="n">
        <v>419</v>
      </c>
      <c r="B424" s="10" t="s">
        <v>25</v>
      </c>
      <c r="C424" s="8" t="s">
        <v>783</v>
      </c>
      <c r="D424" s="10" t="str">
        <f aca="false">IF(C424="","",IFERROR(INDEX(NIVEL!$B:$B,MATCH(C424,NIVEL!$A:$A,0)),"¡Código no existe!"))</f>
        <v>Acople ranurado D=2"</v>
      </c>
      <c r="E424" s="10" t="str">
        <f aca="false">IF(C424="","",IFERROR(INDEX(NIVEL!$C:$C,MATCH(C424,NIVEL!$A:$A,0)),""))</f>
        <v>Un.</v>
      </c>
      <c r="F424" s="10" t="s">
        <v>987</v>
      </c>
      <c r="G424" s="10" t="n">
        <f aca="false">IFERROR(MATCH(F424,LISTAS!$D$2:$D$22,0),99)</f>
        <v>1</v>
      </c>
      <c r="H424" s="13" t="n">
        <v>4</v>
      </c>
      <c r="I424" s="10" t="s">
        <v>1126</v>
      </c>
      <c r="J424" s="10" t="s">
        <v>1127</v>
      </c>
      <c r="K424" s="10" t="s">
        <v>1046</v>
      </c>
      <c r="L424" s="10"/>
      <c r="M424" s="10" t="str">
        <f aca="false">IF(C424="","SIN ASIGNAR","ASIGNADO")</f>
        <v>ASIGNADO</v>
      </c>
      <c r="N424" s="10" t="s">
        <v>991</v>
      </c>
    </row>
    <row r="425" customFormat="false" ht="15" hidden="false" customHeight="false" outlineLevel="0" collapsed="false">
      <c r="A425" s="10" t="n">
        <v>420</v>
      </c>
      <c r="B425" s="10" t="s">
        <v>25</v>
      </c>
      <c r="C425" s="8" t="s">
        <v>789</v>
      </c>
      <c r="D425" s="10" t="str">
        <f aca="false">IF(C425="","",IFERROR(INDEX(NIVEL!$B:$B,MATCH(C425,NIVEL!$A:$A,0)),"¡Código no existe!"))</f>
        <v>Acople ranurado D=4"</v>
      </c>
      <c r="E425" s="10" t="str">
        <f aca="false">IF(C425="","",IFERROR(INDEX(NIVEL!$C:$C,MATCH(C425,NIVEL!$A:$A,0)),""))</f>
        <v>Un.</v>
      </c>
      <c r="F425" s="10" t="s">
        <v>987</v>
      </c>
      <c r="G425" s="10" t="n">
        <f aca="false">IFERROR(MATCH(F425,LISTAS!$D$2:$D$22,0),99)</f>
        <v>1</v>
      </c>
      <c r="H425" s="13" t="n">
        <v>4</v>
      </c>
      <c r="I425" s="10" t="s">
        <v>1126</v>
      </c>
      <c r="J425" s="10" t="s">
        <v>1127</v>
      </c>
      <c r="K425" s="10" t="s">
        <v>1048</v>
      </c>
      <c r="L425" s="10"/>
      <c r="M425" s="10" t="str">
        <f aca="false">IF(C425="","SIN ASIGNAR","ASIGNADO")</f>
        <v>ASIGNADO</v>
      </c>
      <c r="N425" s="10" t="s">
        <v>991</v>
      </c>
    </row>
    <row r="426" customFormat="false" ht="15" hidden="false" customHeight="false" outlineLevel="0" collapsed="false">
      <c r="A426" s="10" t="n">
        <v>421</v>
      </c>
      <c r="B426" s="10" t="s">
        <v>25</v>
      </c>
      <c r="C426" s="8" t="s">
        <v>791</v>
      </c>
      <c r="D426" s="10" t="str">
        <f aca="false">IF(C426="","",IFERROR(INDEX(NIVEL!$B:$B,MATCH(C426,NIVEL!$A:$A,0)),"¡Código no existe!"))</f>
        <v>Acople ranurado D=6"</v>
      </c>
      <c r="E426" s="10" t="str">
        <f aca="false">IF(C426="","",IFERROR(INDEX(NIVEL!$C:$C,MATCH(C426,NIVEL!$A:$A,0)),""))</f>
        <v>Un.</v>
      </c>
      <c r="F426" s="10" t="s">
        <v>987</v>
      </c>
      <c r="G426" s="10" t="n">
        <f aca="false">IFERROR(MATCH(F426,LISTAS!$D$2:$D$22,0),99)</f>
        <v>1</v>
      </c>
      <c r="H426" s="13" t="n">
        <v>46</v>
      </c>
      <c r="I426" s="10" t="s">
        <v>1126</v>
      </c>
      <c r="J426" s="10" t="s">
        <v>1127</v>
      </c>
      <c r="K426" s="10" t="s">
        <v>1045</v>
      </c>
      <c r="L426" s="10"/>
      <c r="M426" s="10" t="str">
        <f aca="false">IF(C426="","SIN ASIGNAR","ASIGNADO")</f>
        <v>ASIGNADO</v>
      </c>
      <c r="N426" s="10" t="s">
        <v>991</v>
      </c>
    </row>
    <row r="427" customFormat="false" ht="15" hidden="false" customHeight="false" outlineLevel="0" collapsed="false">
      <c r="A427" s="10" t="n">
        <v>422</v>
      </c>
      <c r="B427" s="10" t="s">
        <v>25</v>
      </c>
      <c r="C427" s="8" t="s">
        <v>787</v>
      </c>
      <c r="D427" s="10" t="str">
        <f aca="false">IF(C427="","",IFERROR(INDEX(NIVEL!$B:$B,MATCH(C427,NIVEL!$A:$A,0)),"¡Código no existe!"))</f>
        <v>Acople ranurado D=3"</v>
      </c>
      <c r="E427" s="10" t="str">
        <f aca="false">IF(C427="","",IFERROR(INDEX(NIVEL!$C:$C,MATCH(C427,NIVEL!$A:$A,0)),""))</f>
        <v>Un.</v>
      </c>
      <c r="F427" s="10" t="s">
        <v>1031</v>
      </c>
      <c r="G427" s="10" t="n">
        <f aca="false">IFERROR(MATCH(F427,LISTAS!$D$2:$D$22,0),99)</f>
        <v>2</v>
      </c>
      <c r="H427" s="13" t="n">
        <v>16</v>
      </c>
      <c r="I427" s="10" t="s">
        <v>1126</v>
      </c>
      <c r="J427" s="10" t="s">
        <v>1127</v>
      </c>
      <c r="K427" s="10" t="s">
        <v>1041</v>
      </c>
      <c r="L427" s="10"/>
      <c r="M427" s="10" t="str">
        <f aca="false">IF(C427="","SIN ASIGNAR","ASIGNADO")</f>
        <v>ASIGNADO</v>
      </c>
      <c r="N427" s="10" t="s">
        <v>991</v>
      </c>
    </row>
    <row r="428" customFormat="false" ht="15" hidden="false" customHeight="false" outlineLevel="0" collapsed="false">
      <c r="A428" s="10" t="n">
        <v>423</v>
      </c>
      <c r="B428" s="10" t="s">
        <v>25</v>
      </c>
      <c r="C428" s="8" t="s">
        <v>787</v>
      </c>
      <c r="D428" s="10" t="str">
        <f aca="false">IF(C428="","",IFERROR(INDEX(NIVEL!$B:$B,MATCH(C428,NIVEL!$A:$A,0)),"¡Código no existe!"))</f>
        <v>Acople ranurado D=3"</v>
      </c>
      <c r="E428" s="10" t="str">
        <f aca="false">IF(C428="","",IFERROR(INDEX(NIVEL!$C:$C,MATCH(C428,NIVEL!$A:$A,0)),""))</f>
        <v>Un.</v>
      </c>
      <c r="F428" s="10" t="s">
        <v>1008</v>
      </c>
      <c r="G428" s="10" t="n">
        <f aca="false">IFERROR(MATCH(F428,LISTAS!$D$2:$D$22,0),99)</f>
        <v>3</v>
      </c>
      <c r="H428" s="13" t="n">
        <v>30</v>
      </c>
      <c r="I428" s="10" t="s">
        <v>1126</v>
      </c>
      <c r="J428" s="10" t="s">
        <v>1127</v>
      </c>
      <c r="K428" s="10" t="s">
        <v>1041</v>
      </c>
      <c r="L428" s="10"/>
      <c r="M428" s="10" t="str">
        <f aca="false">IF(C428="","SIN ASIGNAR","ASIGNADO")</f>
        <v>ASIGNADO</v>
      </c>
      <c r="N428" s="10" t="s">
        <v>991</v>
      </c>
    </row>
    <row r="429" customFormat="false" ht="15" hidden="false" customHeight="false" outlineLevel="0" collapsed="false">
      <c r="A429" s="10" t="n">
        <v>424</v>
      </c>
      <c r="B429" s="10" t="s">
        <v>25</v>
      </c>
      <c r="C429" s="8" t="s">
        <v>785</v>
      </c>
      <c r="D429" s="10" t="str">
        <f aca="false">IF(C429="","",IFERROR(INDEX(NIVEL!$B:$B,MATCH(C429,NIVEL!$A:$A,0)),"¡Código no existe!"))</f>
        <v>Acople ranurado D=2 1/2"</v>
      </c>
      <c r="E429" s="10" t="str">
        <f aca="false">IF(C429="","",IFERROR(INDEX(NIVEL!$C:$C,MATCH(C429,NIVEL!$A:$A,0)),""))</f>
        <v>Un.</v>
      </c>
      <c r="F429" s="10" t="s">
        <v>1011</v>
      </c>
      <c r="G429" s="10" t="n">
        <f aca="false">IFERROR(MATCH(F429,LISTAS!$D$2:$D$22,0),99)</f>
        <v>4</v>
      </c>
      <c r="H429" s="13" t="n">
        <v>4</v>
      </c>
      <c r="I429" s="10" t="s">
        <v>1126</v>
      </c>
      <c r="J429" s="10" t="s">
        <v>1127</v>
      </c>
      <c r="K429" s="10" t="s">
        <v>1047</v>
      </c>
      <c r="L429" s="10"/>
      <c r="M429" s="10" t="str">
        <f aca="false">IF(C429="","SIN ASIGNAR","ASIGNADO")</f>
        <v>ASIGNADO</v>
      </c>
      <c r="N429" s="10" t="s">
        <v>991</v>
      </c>
    </row>
    <row r="430" customFormat="false" ht="15" hidden="false" customHeight="false" outlineLevel="0" collapsed="false">
      <c r="A430" s="10" t="n">
        <v>425</v>
      </c>
      <c r="B430" s="10" t="s">
        <v>25</v>
      </c>
      <c r="C430" s="8" t="s">
        <v>787</v>
      </c>
      <c r="D430" s="10" t="str">
        <f aca="false">IF(C430="","",IFERROR(INDEX(NIVEL!$B:$B,MATCH(C430,NIVEL!$A:$A,0)),"¡Código no existe!"))</f>
        <v>Acople ranurado D=3"</v>
      </c>
      <c r="E430" s="10" t="str">
        <f aca="false">IF(C430="","",IFERROR(INDEX(NIVEL!$C:$C,MATCH(C430,NIVEL!$A:$A,0)),""))</f>
        <v>Un.</v>
      </c>
      <c r="F430" s="10" t="s">
        <v>1011</v>
      </c>
      <c r="G430" s="10" t="n">
        <f aca="false">IFERROR(MATCH(F430,LISTAS!$D$2:$D$22,0),99)</f>
        <v>4</v>
      </c>
      <c r="H430" s="13" t="n">
        <v>35</v>
      </c>
      <c r="I430" s="10" t="s">
        <v>1126</v>
      </c>
      <c r="J430" s="10" t="s">
        <v>1127</v>
      </c>
      <c r="K430" s="10" t="s">
        <v>1041</v>
      </c>
      <c r="L430" s="10"/>
      <c r="M430" s="10" t="str">
        <f aca="false">IF(C430="","SIN ASIGNAR","ASIGNADO")</f>
        <v>ASIGNADO</v>
      </c>
      <c r="N430" s="10" t="s">
        <v>991</v>
      </c>
    </row>
    <row r="431" customFormat="false" ht="15" hidden="false" customHeight="false" outlineLevel="0" collapsed="false">
      <c r="A431" s="10" t="n">
        <v>426</v>
      </c>
      <c r="B431" s="10" t="s">
        <v>25</v>
      </c>
      <c r="C431" s="8" t="s">
        <v>787</v>
      </c>
      <c r="D431" s="10" t="str">
        <f aca="false">IF(C431="","",IFERROR(INDEX(NIVEL!$B:$B,MATCH(C431,NIVEL!$A:$A,0)),"¡Código no existe!"))</f>
        <v>Acople ranurado D=3"</v>
      </c>
      <c r="E431" s="10" t="str">
        <f aca="false">IF(C431="","",IFERROR(INDEX(NIVEL!$C:$C,MATCH(C431,NIVEL!$A:$A,0)),""))</f>
        <v>Un.</v>
      </c>
      <c r="F431" s="10" t="s">
        <v>1012</v>
      </c>
      <c r="G431" s="10" t="n">
        <f aca="false">IFERROR(MATCH(F431,LISTAS!$D$2:$D$22,0),99)</f>
        <v>5</v>
      </c>
      <c r="H431" s="13" t="n">
        <v>38</v>
      </c>
      <c r="I431" s="10" t="s">
        <v>1126</v>
      </c>
      <c r="J431" s="10" t="s">
        <v>1127</v>
      </c>
      <c r="K431" s="10" t="s">
        <v>1041</v>
      </c>
      <c r="L431" s="10"/>
      <c r="M431" s="10" t="str">
        <f aca="false">IF(C431="","SIN ASIGNAR","ASIGNADO")</f>
        <v>ASIGNADO</v>
      </c>
      <c r="N431" s="10" t="s">
        <v>991</v>
      </c>
    </row>
    <row r="432" customFormat="false" ht="15" hidden="false" customHeight="false" outlineLevel="0" collapsed="false">
      <c r="A432" s="10" t="n">
        <v>427</v>
      </c>
      <c r="B432" s="10" t="s">
        <v>25</v>
      </c>
      <c r="C432" s="8" t="s">
        <v>787</v>
      </c>
      <c r="D432" s="10" t="str">
        <f aca="false">IF(C432="","",IFERROR(INDEX(NIVEL!$B:$B,MATCH(C432,NIVEL!$A:$A,0)),"¡Código no existe!"))</f>
        <v>Acople ranurado D=3"</v>
      </c>
      <c r="E432" s="10" t="str">
        <f aca="false">IF(C432="","",IFERROR(INDEX(NIVEL!$C:$C,MATCH(C432,NIVEL!$A:$A,0)),""))</f>
        <v>Un.</v>
      </c>
      <c r="F432" s="10" t="s">
        <v>1013</v>
      </c>
      <c r="G432" s="10" t="n">
        <f aca="false">IFERROR(MATCH(F432,LISTAS!$D$2:$D$22,0),99)</f>
        <v>6</v>
      </c>
      <c r="H432" s="13" t="n">
        <v>58</v>
      </c>
      <c r="I432" s="10" t="s">
        <v>1126</v>
      </c>
      <c r="J432" s="10" t="s">
        <v>1127</v>
      </c>
      <c r="K432" s="10" t="s">
        <v>1041</v>
      </c>
      <c r="L432" s="10"/>
      <c r="M432" s="10" t="str">
        <f aca="false">IF(C432="","SIN ASIGNAR","ASIGNADO")</f>
        <v>ASIGNADO</v>
      </c>
      <c r="N432" s="10" t="s">
        <v>991</v>
      </c>
    </row>
    <row r="433" customFormat="false" ht="15" hidden="false" customHeight="false" outlineLevel="0" collapsed="false">
      <c r="A433" s="10" t="n">
        <v>428</v>
      </c>
      <c r="B433" s="10" t="s">
        <v>25</v>
      </c>
      <c r="C433" s="8" t="s">
        <v>791</v>
      </c>
      <c r="D433" s="10" t="str">
        <f aca="false">IF(C433="","",IFERROR(INDEX(NIVEL!$B:$B,MATCH(C433,NIVEL!$A:$A,0)),"¡Código no existe!"))</f>
        <v>Acople ranurado D=6"</v>
      </c>
      <c r="E433" s="10" t="str">
        <f aca="false">IF(C433="","",IFERROR(INDEX(NIVEL!$C:$C,MATCH(C433,NIVEL!$A:$A,0)),""))</f>
        <v>Un.</v>
      </c>
      <c r="F433" s="10" t="s">
        <v>1013</v>
      </c>
      <c r="G433" s="10" t="n">
        <f aca="false">IFERROR(MATCH(F433,LISTAS!$D$2:$D$22,0),99)</f>
        <v>6</v>
      </c>
      <c r="H433" s="13" t="n">
        <v>14</v>
      </c>
      <c r="I433" s="10" t="s">
        <v>1126</v>
      </c>
      <c r="J433" s="10" t="s">
        <v>1127</v>
      </c>
      <c r="K433" s="10" t="s">
        <v>1045</v>
      </c>
      <c r="L433" s="10"/>
      <c r="M433" s="10" t="str">
        <f aca="false">IF(C433="","SIN ASIGNAR","ASIGNADO")</f>
        <v>ASIGNADO</v>
      </c>
      <c r="N433" s="10" t="s">
        <v>991</v>
      </c>
    </row>
    <row r="434" customFormat="false" ht="15" hidden="false" customHeight="false" outlineLevel="0" collapsed="false">
      <c r="A434" s="10" t="n">
        <v>429</v>
      </c>
      <c r="B434" s="10" t="s">
        <v>25</v>
      </c>
      <c r="C434" s="8" t="s">
        <v>783</v>
      </c>
      <c r="D434" s="10" t="str">
        <f aca="false">IF(C434="","",IFERROR(INDEX(NIVEL!$B:$B,MATCH(C434,NIVEL!$A:$A,0)),"¡Código no existe!"))</f>
        <v>Acople ranurado D=2"</v>
      </c>
      <c r="E434" s="10" t="str">
        <f aca="false">IF(C434="","",IFERROR(INDEX(NIVEL!$C:$C,MATCH(C434,NIVEL!$A:$A,0)),""))</f>
        <v>Un.</v>
      </c>
      <c r="F434" s="10" t="s">
        <v>1014</v>
      </c>
      <c r="G434" s="10" t="n">
        <f aca="false">IFERROR(MATCH(F434,LISTAS!$D$2:$D$22,0),99)</f>
        <v>7</v>
      </c>
      <c r="H434" s="13" t="n">
        <v>32</v>
      </c>
      <c r="I434" s="10" t="s">
        <v>1126</v>
      </c>
      <c r="J434" s="10" t="s">
        <v>1127</v>
      </c>
      <c r="K434" s="10" t="s">
        <v>1046</v>
      </c>
      <c r="L434" s="10"/>
      <c r="M434" s="10" t="str">
        <f aca="false">IF(C434="","SIN ASIGNAR","ASIGNADO")</f>
        <v>ASIGNADO</v>
      </c>
      <c r="N434" s="10" t="s">
        <v>991</v>
      </c>
    </row>
    <row r="435" customFormat="false" ht="15" hidden="false" customHeight="false" outlineLevel="0" collapsed="false">
      <c r="A435" s="10" t="n">
        <v>430</v>
      </c>
      <c r="B435" s="10" t="s">
        <v>25</v>
      </c>
      <c r="C435" s="8" t="s">
        <v>785</v>
      </c>
      <c r="D435" s="10" t="str">
        <f aca="false">IF(C435="","",IFERROR(INDEX(NIVEL!$B:$B,MATCH(C435,NIVEL!$A:$A,0)),"¡Código no existe!"))</f>
        <v>Acople ranurado D=2 1/2"</v>
      </c>
      <c r="E435" s="10" t="str">
        <f aca="false">IF(C435="","",IFERROR(INDEX(NIVEL!$C:$C,MATCH(C435,NIVEL!$A:$A,0)),""))</f>
        <v>Un.</v>
      </c>
      <c r="F435" s="10" t="s">
        <v>1014</v>
      </c>
      <c r="G435" s="10" t="n">
        <f aca="false">IFERROR(MATCH(F435,LISTAS!$D$2:$D$22,0),99)</f>
        <v>7</v>
      </c>
      <c r="H435" s="13" t="n">
        <v>8</v>
      </c>
      <c r="I435" s="10" t="s">
        <v>1126</v>
      </c>
      <c r="J435" s="10" t="s">
        <v>1127</v>
      </c>
      <c r="K435" s="10" t="s">
        <v>1047</v>
      </c>
      <c r="L435" s="10"/>
      <c r="M435" s="10" t="str">
        <f aca="false">IF(C435="","SIN ASIGNAR","ASIGNADO")</f>
        <v>ASIGNADO</v>
      </c>
      <c r="N435" s="10" t="s">
        <v>991</v>
      </c>
    </row>
    <row r="436" customFormat="false" ht="15" hidden="false" customHeight="false" outlineLevel="0" collapsed="false">
      <c r="A436" s="10" t="n">
        <v>431</v>
      </c>
      <c r="B436" s="10" t="s">
        <v>25</v>
      </c>
      <c r="C436" s="8" t="s">
        <v>787</v>
      </c>
      <c r="D436" s="10" t="str">
        <f aca="false">IF(C436="","",IFERROR(INDEX(NIVEL!$B:$B,MATCH(C436,NIVEL!$A:$A,0)),"¡Código no existe!"))</f>
        <v>Acople ranurado D=3"</v>
      </c>
      <c r="E436" s="10" t="str">
        <f aca="false">IF(C436="","",IFERROR(INDEX(NIVEL!$C:$C,MATCH(C436,NIVEL!$A:$A,0)),""))</f>
        <v>Un.</v>
      </c>
      <c r="F436" s="10" t="s">
        <v>1014</v>
      </c>
      <c r="G436" s="10" t="n">
        <f aca="false">IFERROR(MATCH(F436,LISTAS!$D$2:$D$22,0),99)</f>
        <v>7</v>
      </c>
      <c r="H436" s="13" t="n">
        <v>42</v>
      </c>
      <c r="I436" s="10" t="s">
        <v>1126</v>
      </c>
      <c r="J436" s="10" t="s">
        <v>1127</v>
      </c>
      <c r="K436" s="10" t="s">
        <v>1041</v>
      </c>
      <c r="L436" s="10"/>
      <c r="M436" s="10" t="str">
        <f aca="false">IF(C436="","SIN ASIGNAR","ASIGNADO")</f>
        <v>ASIGNADO</v>
      </c>
      <c r="N436" s="10" t="s">
        <v>991</v>
      </c>
    </row>
    <row r="437" customFormat="false" ht="15" hidden="false" customHeight="false" outlineLevel="0" collapsed="false">
      <c r="A437" s="10" t="n">
        <v>432</v>
      </c>
      <c r="B437" s="10" t="s">
        <v>25</v>
      </c>
      <c r="C437" s="8" t="s">
        <v>789</v>
      </c>
      <c r="D437" s="10" t="str">
        <f aca="false">IF(C437="","",IFERROR(INDEX(NIVEL!$B:$B,MATCH(C437,NIVEL!$A:$A,0)),"¡Código no existe!"))</f>
        <v>Acople ranurado D=4"</v>
      </c>
      <c r="E437" s="10" t="str">
        <f aca="false">IF(C437="","",IFERROR(INDEX(NIVEL!$C:$C,MATCH(C437,NIVEL!$A:$A,0)),""))</f>
        <v>Un.</v>
      </c>
      <c r="F437" s="10" t="s">
        <v>1014</v>
      </c>
      <c r="G437" s="10" t="n">
        <f aca="false">IFERROR(MATCH(F437,LISTAS!$D$2:$D$22,0),99)</f>
        <v>7</v>
      </c>
      <c r="H437" s="13" t="n">
        <v>6</v>
      </c>
      <c r="I437" s="10" t="s">
        <v>1126</v>
      </c>
      <c r="J437" s="10" t="s">
        <v>1127</v>
      </c>
      <c r="K437" s="10" t="s">
        <v>1048</v>
      </c>
      <c r="L437" s="10"/>
      <c r="M437" s="10" t="str">
        <f aca="false">IF(C437="","SIN ASIGNAR","ASIGNADO")</f>
        <v>ASIGNADO</v>
      </c>
      <c r="N437" s="10" t="s">
        <v>991</v>
      </c>
    </row>
    <row r="438" customFormat="false" ht="15" hidden="false" customHeight="false" outlineLevel="0" collapsed="false">
      <c r="A438" s="10" t="n">
        <v>433</v>
      </c>
      <c r="B438" s="10" t="s">
        <v>25</v>
      </c>
      <c r="C438" s="8" t="s">
        <v>791</v>
      </c>
      <c r="D438" s="10" t="str">
        <f aca="false">IF(C438="","",IFERROR(INDEX(NIVEL!$B:$B,MATCH(C438,NIVEL!$A:$A,0)),"¡Código no existe!"))</f>
        <v>Acople ranurado D=6"</v>
      </c>
      <c r="E438" s="10" t="str">
        <f aca="false">IF(C438="","",IFERROR(INDEX(NIVEL!$C:$C,MATCH(C438,NIVEL!$A:$A,0)),""))</f>
        <v>Un.</v>
      </c>
      <c r="F438" s="10" t="s">
        <v>1014</v>
      </c>
      <c r="G438" s="10" t="n">
        <f aca="false">IFERROR(MATCH(F438,LISTAS!$D$2:$D$22,0),99)</f>
        <v>7</v>
      </c>
      <c r="H438" s="13" t="n">
        <v>3</v>
      </c>
      <c r="I438" s="10" t="s">
        <v>1126</v>
      </c>
      <c r="J438" s="10" t="s">
        <v>1127</v>
      </c>
      <c r="K438" s="10" t="s">
        <v>1045</v>
      </c>
      <c r="L438" s="10"/>
      <c r="M438" s="10" t="str">
        <f aca="false">IF(C438="","SIN ASIGNAR","ASIGNADO")</f>
        <v>ASIGNADO</v>
      </c>
      <c r="N438" s="10" t="s">
        <v>991</v>
      </c>
    </row>
    <row r="439" customFormat="false" ht="15" hidden="false" customHeight="false" outlineLevel="0" collapsed="false">
      <c r="A439" s="10" t="n">
        <v>434</v>
      </c>
      <c r="B439" s="10" t="s">
        <v>25</v>
      </c>
      <c r="C439" s="8" t="s">
        <v>783</v>
      </c>
      <c r="D439" s="10" t="str">
        <f aca="false">IF(C439="","",IFERROR(INDEX(NIVEL!$B:$B,MATCH(C439,NIVEL!$A:$A,0)),"¡Código no existe!"))</f>
        <v>Acople ranurado D=2"</v>
      </c>
      <c r="E439" s="10" t="str">
        <f aca="false">IF(C439="","",IFERROR(INDEX(NIVEL!$C:$C,MATCH(C439,NIVEL!$A:$A,0)),""))</f>
        <v>Un.</v>
      </c>
      <c r="F439" s="10" t="s">
        <v>1017</v>
      </c>
      <c r="G439" s="10" t="n">
        <f aca="false">IFERROR(MATCH(F439,LISTAS!$D$2:$D$22,0),99)</f>
        <v>8</v>
      </c>
      <c r="H439" s="13" t="n">
        <v>42</v>
      </c>
      <c r="I439" s="10" t="s">
        <v>1126</v>
      </c>
      <c r="J439" s="10" t="s">
        <v>1127</v>
      </c>
      <c r="K439" s="10" t="s">
        <v>1046</v>
      </c>
      <c r="L439" s="10"/>
      <c r="M439" s="10" t="str">
        <f aca="false">IF(C439="","SIN ASIGNAR","ASIGNADO")</f>
        <v>ASIGNADO</v>
      </c>
      <c r="N439" s="10" t="s">
        <v>991</v>
      </c>
    </row>
    <row r="440" customFormat="false" ht="15" hidden="false" customHeight="false" outlineLevel="0" collapsed="false">
      <c r="A440" s="10" t="n">
        <v>435</v>
      </c>
      <c r="B440" s="10" t="s">
        <v>25</v>
      </c>
      <c r="C440" s="8" t="s">
        <v>785</v>
      </c>
      <c r="D440" s="10" t="str">
        <f aca="false">IF(C440="","",IFERROR(INDEX(NIVEL!$B:$B,MATCH(C440,NIVEL!$A:$A,0)),"¡Código no existe!"))</f>
        <v>Acople ranurado D=2 1/2"</v>
      </c>
      <c r="E440" s="10" t="str">
        <f aca="false">IF(C440="","",IFERROR(INDEX(NIVEL!$C:$C,MATCH(C440,NIVEL!$A:$A,0)),""))</f>
        <v>Un.</v>
      </c>
      <c r="F440" s="10" t="s">
        <v>1017</v>
      </c>
      <c r="G440" s="10" t="n">
        <f aca="false">IFERROR(MATCH(F440,LISTAS!$D$2:$D$22,0),99)</f>
        <v>8</v>
      </c>
      <c r="H440" s="13" t="n">
        <v>12</v>
      </c>
      <c r="I440" s="10" t="s">
        <v>1126</v>
      </c>
      <c r="J440" s="10" t="s">
        <v>1127</v>
      </c>
      <c r="K440" s="10" t="s">
        <v>1047</v>
      </c>
      <c r="L440" s="10"/>
      <c r="M440" s="10" t="str">
        <f aca="false">IF(C440="","SIN ASIGNAR","ASIGNADO")</f>
        <v>ASIGNADO</v>
      </c>
      <c r="N440" s="10" t="s">
        <v>991</v>
      </c>
    </row>
    <row r="441" customFormat="false" ht="15" hidden="false" customHeight="false" outlineLevel="0" collapsed="false">
      <c r="A441" s="10" t="n">
        <v>436</v>
      </c>
      <c r="B441" s="10" t="s">
        <v>25</v>
      </c>
      <c r="C441" s="8" t="s">
        <v>787</v>
      </c>
      <c r="D441" s="10" t="str">
        <f aca="false">IF(C441="","",IFERROR(INDEX(NIVEL!$B:$B,MATCH(C441,NIVEL!$A:$A,0)),"¡Código no existe!"))</f>
        <v>Acople ranurado D=3"</v>
      </c>
      <c r="E441" s="10" t="str">
        <f aca="false">IF(C441="","",IFERROR(INDEX(NIVEL!$C:$C,MATCH(C441,NIVEL!$A:$A,0)),""))</f>
        <v>Un.</v>
      </c>
      <c r="F441" s="10" t="s">
        <v>1017</v>
      </c>
      <c r="G441" s="10" t="n">
        <f aca="false">IFERROR(MATCH(F441,LISTAS!$D$2:$D$22,0),99)</f>
        <v>8</v>
      </c>
      <c r="H441" s="13" t="n">
        <v>8</v>
      </c>
      <c r="I441" s="10" t="s">
        <v>1126</v>
      </c>
      <c r="J441" s="10" t="s">
        <v>1127</v>
      </c>
      <c r="K441" s="10" t="s">
        <v>1041</v>
      </c>
      <c r="L441" s="10"/>
      <c r="M441" s="10" t="str">
        <f aca="false">IF(C441="","SIN ASIGNAR","ASIGNADO")</f>
        <v>ASIGNADO</v>
      </c>
      <c r="N441" s="10" t="s">
        <v>991</v>
      </c>
    </row>
    <row r="442" customFormat="false" ht="15" hidden="false" customHeight="false" outlineLevel="0" collapsed="false">
      <c r="A442" s="10" t="n">
        <v>437</v>
      </c>
      <c r="B442" s="10" t="s">
        <v>25</v>
      </c>
      <c r="C442" s="8" t="s">
        <v>791</v>
      </c>
      <c r="D442" s="10" t="str">
        <f aca="false">IF(C442="","",IFERROR(INDEX(NIVEL!$B:$B,MATCH(C442,NIVEL!$A:$A,0)),"¡Código no existe!"))</f>
        <v>Acople ranurado D=6"</v>
      </c>
      <c r="E442" s="10" t="str">
        <f aca="false">IF(C442="","",IFERROR(INDEX(NIVEL!$C:$C,MATCH(C442,NIVEL!$A:$A,0)),""))</f>
        <v>Un.</v>
      </c>
      <c r="F442" s="10" t="s">
        <v>987</v>
      </c>
      <c r="G442" s="10" t="n">
        <f aca="false">IFERROR(MATCH(F442,LISTAS!$D$2:$D$22,0),99)</f>
        <v>1</v>
      </c>
      <c r="H442" s="13" t="n">
        <v>29</v>
      </c>
      <c r="I442" s="10" t="s">
        <v>1128</v>
      </c>
      <c r="J442" s="10" t="s">
        <v>1127</v>
      </c>
      <c r="K442" s="10" t="s">
        <v>1045</v>
      </c>
      <c r="L442" s="10"/>
      <c r="M442" s="10" t="str">
        <f aca="false">IF(C442="","SIN ASIGNAR","ASIGNADO")</f>
        <v>ASIGNADO</v>
      </c>
      <c r="N442" s="10" t="s">
        <v>991</v>
      </c>
    </row>
    <row r="443" customFormat="false" ht="15" hidden="false" customHeight="false" outlineLevel="0" collapsed="false">
      <c r="A443" s="10" t="n">
        <v>438</v>
      </c>
      <c r="B443" s="10" t="s">
        <v>25</v>
      </c>
      <c r="C443" s="8" t="s">
        <v>789</v>
      </c>
      <c r="D443" s="10" t="str">
        <f aca="false">IF(C443="","",IFERROR(INDEX(NIVEL!$B:$B,MATCH(C443,NIVEL!$A:$A,0)),"¡Código no existe!"))</f>
        <v>Acople ranurado D=4"</v>
      </c>
      <c r="E443" s="10" t="str">
        <f aca="false">IF(C443="","",IFERROR(INDEX(NIVEL!$C:$C,MATCH(C443,NIVEL!$A:$A,0)),""))</f>
        <v>Un.</v>
      </c>
      <c r="F443" s="10" t="s">
        <v>987</v>
      </c>
      <c r="G443" s="10" t="n">
        <f aca="false">IFERROR(MATCH(F443,LISTAS!$D$2:$D$22,0),99)</f>
        <v>1</v>
      </c>
      <c r="H443" s="13" t="n">
        <v>2</v>
      </c>
      <c r="I443" s="10" t="s">
        <v>1129</v>
      </c>
      <c r="J443" s="10" t="s">
        <v>1127</v>
      </c>
      <c r="K443" s="10" t="s">
        <v>1048</v>
      </c>
      <c r="L443" s="10"/>
      <c r="M443" s="10" t="str">
        <f aca="false">IF(C443="","SIN ASIGNAR","ASIGNADO")</f>
        <v>ASIGNADO</v>
      </c>
      <c r="N443" s="10" t="s">
        <v>991</v>
      </c>
    </row>
    <row r="444" customFormat="false" ht="15" hidden="false" customHeight="false" outlineLevel="0" collapsed="false">
      <c r="A444" s="10" t="n">
        <v>439</v>
      </c>
      <c r="B444" s="10" t="s">
        <v>25</v>
      </c>
      <c r="C444" s="8" t="s">
        <v>791</v>
      </c>
      <c r="D444" s="10" t="str">
        <f aca="false">IF(C444="","",IFERROR(INDEX(NIVEL!$B:$B,MATCH(C444,NIVEL!$A:$A,0)),"¡Código no existe!"))</f>
        <v>Acople ranurado D=6"</v>
      </c>
      <c r="E444" s="10" t="str">
        <f aca="false">IF(C444="","",IFERROR(INDEX(NIVEL!$C:$C,MATCH(C444,NIVEL!$A:$A,0)),""))</f>
        <v>Un.</v>
      </c>
      <c r="F444" s="10" t="s">
        <v>987</v>
      </c>
      <c r="G444" s="10" t="n">
        <f aca="false">IFERROR(MATCH(F444,LISTAS!$D$2:$D$22,0),99)</f>
        <v>1</v>
      </c>
      <c r="H444" s="13" t="n">
        <v>2</v>
      </c>
      <c r="I444" s="10" t="s">
        <v>1129</v>
      </c>
      <c r="J444" s="10" t="s">
        <v>1127</v>
      </c>
      <c r="K444" s="10" t="s">
        <v>1045</v>
      </c>
      <c r="L444" s="10"/>
      <c r="M444" s="10" t="str">
        <f aca="false">IF(C444="","SIN ASIGNAR","ASIGNADO")</f>
        <v>ASIGNADO</v>
      </c>
      <c r="N444" s="10" t="s">
        <v>991</v>
      </c>
    </row>
    <row r="445" customFormat="false" ht="15" hidden="false" customHeight="false" outlineLevel="0" collapsed="false">
      <c r="A445" s="10" t="n">
        <v>440</v>
      </c>
      <c r="B445" s="10" t="s">
        <v>25</v>
      </c>
      <c r="C445" s="8" t="s">
        <v>781</v>
      </c>
      <c r="D445" s="10" t="str">
        <f aca="false">IF(C445="","",IFERROR(INDEX(NIVEL!$B:$B,MATCH(C445,NIVEL!$A:$A,0)),"¡Código no existe!"))</f>
        <v>Acople ranurado D=1-1/2"</v>
      </c>
      <c r="E445" s="10" t="str">
        <f aca="false">IF(C445="","",IFERROR(INDEX(NIVEL!$C:$C,MATCH(C445,NIVEL!$A:$A,0)),""))</f>
        <v>Un.</v>
      </c>
      <c r="F445" s="10" t="s">
        <v>1008</v>
      </c>
      <c r="G445" s="10" t="n">
        <f aca="false">IFERROR(MATCH(F445,LISTAS!$D$2:$D$22,0),99)</f>
        <v>3</v>
      </c>
      <c r="H445" s="13" t="n">
        <v>1</v>
      </c>
      <c r="I445" s="10" t="s">
        <v>1129</v>
      </c>
      <c r="J445" s="10" t="s">
        <v>1127</v>
      </c>
      <c r="K445" s="10" t="s">
        <v>1044</v>
      </c>
      <c r="L445" s="10"/>
      <c r="M445" s="10" t="str">
        <f aca="false">IF(C445="","SIN ASIGNAR","ASIGNADO")</f>
        <v>ASIGNADO</v>
      </c>
      <c r="N445" s="10" t="s">
        <v>991</v>
      </c>
    </row>
    <row r="446" customFormat="false" ht="15" hidden="false" customHeight="false" outlineLevel="0" collapsed="false">
      <c r="A446" s="10" t="n">
        <v>441</v>
      </c>
      <c r="B446" s="10" t="s">
        <v>25</v>
      </c>
      <c r="C446" s="8" t="s">
        <v>785</v>
      </c>
      <c r="D446" s="10" t="str">
        <f aca="false">IF(C446="","",IFERROR(INDEX(NIVEL!$B:$B,MATCH(C446,NIVEL!$A:$A,0)),"¡Código no existe!"))</f>
        <v>Acople ranurado D=2 1/2"</v>
      </c>
      <c r="E446" s="10" t="str">
        <f aca="false">IF(C446="","",IFERROR(INDEX(NIVEL!$C:$C,MATCH(C446,NIVEL!$A:$A,0)),""))</f>
        <v>Un.</v>
      </c>
      <c r="F446" s="10" t="s">
        <v>1008</v>
      </c>
      <c r="G446" s="10" t="n">
        <f aca="false">IFERROR(MATCH(F446,LISTAS!$D$2:$D$22,0),99)</f>
        <v>3</v>
      </c>
      <c r="H446" s="13" t="n">
        <v>1</v>
      </c>
      <c r="I446" s="10" t="s">
        <v>1129</v>
      </c>
      <c r="J446" s="10" t="s">
        <v>1127</v>
      </c>
      <c r="K446" s="10" t="s">
        <v>1047</v>
      </c>
      <c r="L446" s="10"/>
      <c r="M446" s="10" t="str">
        <f aca="false">IF(C446="","SIN ASIGNAR","ASIGNADO")</f>
        <v>ASIGNADO</v>
      </c>
      <c r="N446" s="10" t="s">
        <v>991</v>
      </c>
    </row>
    <row r="447" customFormat="false" ht="15" hidden="false" customHeight="false" outlineLevel="0" collapsed="false">
      <c r="A447" s="10" t="n">
        <v>442</v>
      </c>
      <c r="B447" s="10" t="s">
        <v>25</v>
      </c>
      <c r="C447" s="8" t="s">
        <v>787</v>
      </c>
      <c r="D447" s="10" t="str">
        <f aca="false">IF(C447="","",IFERROR(INDEX(NIVEL!$B:$B,MATCH(C447,NIVEL!$A:$A,0)),"¡Código no existe!"))</f>
        <v>Acople ranurado D=3"</v>
      </c>
      <c r="E447" s="10" t="str">
        <f aca="false">IF(C447="","",IFERROR(INDEX(NIVEL!$C:$C,MATCH(C447,NIVEL!$A:$A,0)),""))</f>
        <v>Un.</v>
      </c>
      <c r="F447" s="10" t="s">
        <v>1008</v>
      </c>
      <c r="G447" s="10" t="n">
        <f aca="false">IFERROR(MATCH(F447,LISTAS!$D$2:$D$22,0),99)</f>
        <v>3</v>
      </c>
      <c r="H447" s="13" t="n">
        <v>2</v>
      </c>
      <c r="I447" s="10" t="s">
        <v>1129</v>
      </c>
      <c r="J447" s="10" t="s">
        <v>1127</v>
      </c>
      <c r="K447" s="10" t="s">
        <v>1041</v>
      </c>
      <c r="L447" s="10"/>
      <c r="M447" s="10" t="str">
        <f aca="false">IF(C447="","SIN ASIGNAR","ASIGNADO")</f>
        <v>ASIGNADO</v>
      </c>
      <c r="N447" s="10" t="s">
        <v>991</v>
      </c>
    </row>
    <row r="448" customFormat="false" ht="15" hidden="false" customHeight="false" outlineLevel="0" collapsed="false">
      <c r="A448" s="10" t="n">
        <v>443</v>
      </c>
      <c r="B448" s="10" t="s">
        <v>25</v>
      </c>
      <c r="C448" s="8" t="s">
        <v>781</v>
      </c>
      <c r="D448" s="10" t="str">
        <f aca="false">IF(C448="","",IFERROR(INDEX(NIVEL!$B:$B,MATCH(C448,NIVEL!$A:$A,0)),"¡Código no existe!"))</f>
        <v>Acople ranurado D=1-1/2"</v>
      </c>
      <c r="E448" s="10" t="str">
        <f aca="false">IF(C448="","",IFERROR(INDEX(NIVEL!$C:$C,MATCH(C448,NIVEL!$A:$A,0)),""))</f>
        <v>Un.</v>
      </c>
      <c r="F448" s="10" t="s">
        <v>1011</v>
      </c>
      <c r="G448" s="10" t="n">
        <f aca="false">IFERROR(MATCH(F448,LISTAS!$D$2:$D$22,0),99)</f>
        <v>4</v>
      </c>
      <c r="H448" s="13" t="n">
        <v>1</v>
      </c>
      <c r="I448" s="10" t="s">
        <v>1129</v>
      </c>
      <c r="J448" s="10" t="s">
        <v>1127</v>
      </c>
      <c r="K448" s="10" t="s">
        <v>1044</v>
      </c>
      <c r="L448" s="10"/>
      <c r="M448" s="10" t="str">
        <f aca="false">IF(C448="","SIN ASIGNAR","ASIGNADO")</f>
        <v>ASIGNADO</v>
      </c>
      <c r="N448" s="10" t="s">
        <v>991</v>
      </c>
    </row>
    <row r="449" customFormat="false" ht="15" hidden="false" customHeight="false" outlineLevel="0" collapsed="false">
      <c r="A449" s="10" t="n">
        <v>444</v>
      </c>
      <c r="B449" s="10" t="s">
        <v>25</v>
      </c>
      <c r="C449" s="8" t="s">
        <v>785</v>
      </c>
      <c r="D449" s="10" t="str">
        <f aca="false">IF(C449="","",IFERROR(INDEX(NIVEL!$B:$B,MATCH(C449,NIVEL!$A:$A,0)),"¡Código no existe!"))</f>
        <v>Acople ranurado D=2 1/2"</v>
      </c>
      <c r="E449" s="10" t="str">
        <f aca="false">IF(C449="","",IFERROR(INDEX(NIVEL!$C:$C,MATCH(C449,NIVEL!$A:$A,0)),""))</f>
        <v>Un.</v>
      </c>
      <c r="F449" s="10" t="s">
        <v>1011</v>
      </c>
      <c r="G449" s="10" t="n">
        <f aca="false">IFERROR(MATCH(F449,LISTAS!$D$2:$D$22,0),99)</f>
        <v>4</v>
      </c>
      <c r="H449" s="13" t="n">
        <v>3</v>
      </c>
      <c r="I449" s="10" t="s">
        <v>1129</v>
      </c>
      <c r="J449" s="10" t="s">
        <v>1127</v>
      </c>
      <c r="K449" s="10" t="s">
        <v>1047</v>
      </c>
      <c r="L449" s="10"/>
      <c r="M449" s="10" t="str">
        <f aca="false">IF(C449="","SIN ASIGNAR","ASIGNADO")</f>
        <v>ASIGNADO</v>
      </c>
      <c r="N449" s="10" t="s">
        <v>991</v>
      </c>
    </row>
    <row r="450" customFormat="false" ht="15" hidden="false" customHeight="false" outlineLevel="0" collapsed="false">
      <c r="A450" s="10" t="n">
        <v>445</v>
      </c>
      <c r="B450" s="10" t="s">
        <v>25</v>
      </c>
      <c r="C450" s="8" t="s">
        <v>787</v>
      </c>
      <c r="D450" s="10" t="str">
        <f aca="false">IF(C450="","",IFERROR(INDEX(NIVEL!$B:$B,MATCH(C450,NIVEL!$A:$A,0)),"¡Código no existe!"))</f>
        <v>Acople ranurado D=3"</v>
      </c>
      <c r="E450" s="10" t="str">
        <f aca="false">IF(C450="","",IFERROR(INDEX(NIVEL!$C:$C,MATCH(C450,NIVEL!$A:$A,0)),""))</f>
        <v>Un.</v>
      </c>
      <c r="F450" s="10" t="s">
        <v>1011</v>
      </c>
      <c r="G450" s="10" t="n">
        <f aca="false">IFERROR(MATCH(F450,LISTAS!$D$2:$D$22,0),99)</f>
        <v>4</v>
      </c>
      <c r="H450" s="13" t="n">
        <v>4</v>
      </c>
      <c r="I450" s="10" t="s">
        <v>1129</v>
      </c>
      <c r="J450" s="10" t="s">
        <v>1127</v>
      </c>
      <c r="K450" s="10" t="s">
        <v>1041</v>
      </c>
      <c r="L450" s="10"/>
      <c r="M450" s="10" t="str">
        <f aca="false">IF(C450="","SIN ASIGNAR","ASIGNADO")</f>
        <v>ASIGNADO</v>
      </c>
      <c r="N450" s="10" t="s">
        <v>991</v>
      </c>
    </row>
    <row r="451" customFormat="false" ht="15" hidden="false" customHeight="false" outlineLevel="0" collapsed="false">
      <c r="A451" s="10" t="n">
        <v>446</v>
      </c>
      <c r="B451" s="10" t="s">
        <v>25</v>
      </c>
      <c r="C451" s="8" t="s">
        <v>781</v>
      </c>
      <c r="D451" s="10" t="str">
        <f aca="false">IF(C451="","",IFERROR(INDEX(NIVEL!$B:$B,MATCH(C451,NIVEL!$A:$A,0)),"¡Código no existe!"))</f>
        <v>Acople ranurado D=1-1/2"</v>
      </c>
      <c r="E451" s="10" t="str">
        <f aca="false">IF(C451="","",IFERROR(INDEX(NIVEL!$C:$C,MATCH(C451,NIVEL!$A:$A,0)),""))</f>
        <v>Un.</v>
      </c>
      <c r="F451" s="10" t="s">
        <v>1012</v>
      </c>
      <c r="G451" s="10" t="n">
        <f aca="false">IFERROR(MATCH(F451,LISTAS!$D$2:$D$22,0),99)</f>
        <v>5</v>
      </c>
      <c r="H451" s="13" t="n">
        <v>2</v>
      </c>
      <c r="I451" s="10" t="s">
        <v>1129</v>
      </c>
      <c r="J451" s="10" t="s">
        <v>1127</v>
      </c>
      <c r="K451" s="10" t="s">
        <v>1044</v>
      </c>
      <c r="L451" s="10"/>
      <c r="M451" s="10" t="str">
        <f aca="false">IF(C451="","SIN ASIGNAR","ASIGNADO")</f>
        <v>ASIGNADO</v>
      </c>
      <c r="N451" s="10" t="s">
        <v>991</v>
      </c>
    </row>
    <row r="452" customFormat="false" ht="15" hidden="false" customHeight="false" outlineLevel="0" collapsed="false">
      <c r="A452" s="10" t="n">
        <v>447</v>
      </c>
      <c r="B452" s="10" t="s">
        <v>25</v>
      </c>
      <c r="C452" s="8" t="s">
        <v>785</v>
      </c>
      <c r="D452" s="10" t="str">
        <f aca="false">IF(C452="","",IFERROR(INDEX(NIVEL!$B:$B,MATCH(C452,NIVEL!$A:$A,0)),"¡Código no existe!"))</f>
        <v>Acople ranurado D=2 1/2"</v>
      </c>
      <c r="E452" s="10" t="str">
        <f aca="false">IF(C452="","",IFERROR(INDEX(NIVEL!$C:$C,MATCH(C452,NIVEL!$A:$A,0)),""))</f>
        <v>Un.</v>
      </c>
      <c r="F452" s="10" t="s">
        <v>1012</v>
      </c>
      <c r="G452" s="10" t="n">
        <f aca="false">IFERROR(MATCH(F452,LISTAS!$D$2:$D$22,0),99)</f>
        <v>5</v>
      </c>
      <c r="H452" s="13" t="n">
        <v>1</v>
      </c>
      <c r="I452" s="10" t="s">
        <v>1129</v>
      </c>
      <c r="J452" s="10" t="s">
        <v>1127</v>
      </c>
      <c r="K452" s="10" t="s">
        <v>1047</v>
      </c>
      <c r="L452" s="10"/>
      <c r="M452" s="10" t="str">
        <f aca="false">IF(C452="","SIN ASIGNAR","ASIGNADO")</f>
        <v>ASIGNADO</v>
      </c>
      <c r="N452" s="10" t="s">
        <v>991</v>
      </c>
    </row>
    <row r="453" customFormat="false" ht="15" hidden="false" customHeight="false" outlineLevel="0" collapsed="false">
      <c r="A453" s="10" t="n">
        <v>448</v>
      </c>
      <c r="B453" s="10" t="s">
        <v>25</v>
      </c>
      <c r="C453" s="8" t="s">
        <v>787</v>
      </c>
      <c r="D453" s="10" t="str">
        <f aca="false">IF(C453="","",IFERROR(INDEX(NIVEL!$B:$B,MATCH(C453,NIVEL!$A:$A,0)),"¡Código no existe!"))</f>
        <v>Acople ranurado D=3"</v>
      </c>
      <c r="E453" s="10" t="str">
        <f aca="false">IF(C453="","",IFERROR(INDEX(NIVEL!$C:$C,MATCH(C453,NIVEL!$A:$A,0)),""))</f>
        <v>Un.</v>
      </c>
      <c r="F453" s="10" t="s">
        <v>1012</v>
      </c>
      <c r="G453" s="10" t="n">
        <f aca="false">IFERROR(MATCH(F453,LISTAS!$D$2:$D$22,0),99)</f>
        <v>5</v>
      </c>
      <c r="H453" s="13" t="n">
        <v>3</v>
      </c>
      <c r="I453" s="10" t="s">
        <v>1129</v>
      </c>
      <c r="J453" s="10" t="s">
        <v>1127</v>
      </c>
      <c r="K453" s="10" t="s">
        <v>1041</v>
      </c>
      <c r="L453" s="10"/>
      <c r="M453" s="10" t="str">
        <f aca="false">IF(C453="","SIN ASIGNAR","ASIGNADO")</f>
        <v>ASIGNADO</v>
      </c>
      <c r="N453" s="10" t="s">
        <v>991</v>
      </c>
    </row>
    <row r="454" customFormat="false" ht="15" hidden="false" customHeight="false" outlineLevel="0" collapsed="false">
      <c r="A454" s="10" t="n">
        <v>449</v>
      </c>
      <c r="B454" s="10" t="s">
        <v>25</v>
      </c>
      <c r="C454" s="8" t="s">
        <v>781</v>
      </c>
      <c r="D454" s="10" t="str">
        <f aca="false">IF(C454="","",IFERROR(INDEX(NIVEL!$B:$B,MATCH(C454,NIVEL!$A:$A,0)),"¡Código no existe!"))</f>
        <v>Acople ranurado D=1-1/2"</v>
      </c>
      <c r="E454" s="10" t="str">
        <f aca="false">IF(C454="","",IFERROR(INDEX(NIVEL!$C:$C,MATCH(C454,NIVEL!$A:$A,0)),""))</f>
        <v>Un.</v>
      </c>
      <c r="F454" s="10" t="s">
        <v>1013</v>
      </c>
      <c r="G454" s="10" t="n">
        <f aca="false">IFERROR(MATCH(F454,LISTAS!$D$2:$D$22,0),99)</f>
        <v>6</v>
      </c>
      <c r="H454" s="13" t="n">
        <v>3</v>
      </c>
      <c r="I454" s="10" t="s">
        <v>1129</v>
      </c>
      <c r="J454" s="10" t="s">
        <v>1127</v>
      </c>
      <c r="K454" s="10" t="s">
        <v>1044</v>
      </c>
      <c r="L454" s="10"/>
      <c r="M454" s="10" t="str">
        <f aca="false">IF(C454="","SIN ASIGNAR","ASIGNADO")</f>
        <v>ASIGNADO</v>
      </c>
      <c r="N454" s="10" t="s">
        <v>991</v>
      </c>
    </row>
    <row r="455" customFormat="false" ht="15" hidden="false" customHeight="false" outlineLevel="0" collapsed="false">
      <c r="A455" s="10" t="n">
        <v>450</v>
      </c>
      <c r="B455" s="10" t="s">
        <v>25</v>
      </c>
      <c r="C455" s="8" t="s">
        <v>785</v>
      </c>
      <c r="D455" s="10" t="str">
        <f aca="false">IF(C455="","",IFERROR(INDEX(NIVEL!$B:$B,MATCH(C455,NIVEL!$A:$A,0)),"¡Código no existe!"))</f>
        <v>Acople ranurado D=2 1/2"</v>
      </c>
      <c r="E455" s="10" t="str">
        <f aca="false">IF(C455="","",IFERROR(INDEX(NIVEL!$C:$C,MATCH(C455,NIVEL!$A:$A,0)),""))</f>
        <v>Un.</v>
      </c>
      <c r="F455" s="10" t="s">
        <v>1013</v>
      </c>
      <c r="G455" s="10" t="n">
        <f aca="false">IFERROR(MATCH(F455,LISTAS!$D$2:$D$22,0),99)</f>
        <v>6</v>
      </c>
      <c r="H455" s="13" t="n">
        <v>1</v>
      </c>
      <c r="I455" s="10" t="s">
        <v>1129</v>
      </c>
      <c r="J455" s="10" t="s">
        <v>1127</v>
      </c>
      <c r="K455" s="10" t="s">
        <v>1047</v>
      </c>
      <c r="L455" s="10"/>
      <c r="M455" s="10" t="str">
        <f aca="false">IF(C455="","SIN ASIGNAR","ASIGNADO")</f>
        <v>ASIGNADO</v>
      </c>
      <c r="N455" s="10" t="s">
        <v>991</v>
      </c>
    </row>
    <row r="456" customFormat="false" ht="15" hidden="false" customHeight="false" outlineLevel="0" collapsed="false">
      <c r="A456" s="10" t="n">
        <v>451</v>
      </c>
      <c r="B456" s="10" t="s">
        <v>25</v>
      </c>
      <c r="C456" s="8" t="s">
        <v>787</v>
      </c>
      <c r="D456" s="10" t="str">
        <f aca="false">IF(C456="","",IFERROR(INDEX(NIVEL!$B:$B,MATCH(C456,NIVEL!$A:$A,0)),"¡Código no existe!"))</f>
        <v>Acople ranurado D=3"</v>
      </c>
      <c r="E456" s="10" t="str">
        <f aca="false">IF(C456="","",IFERROR(INDEX(NIVEL!$C:$C,MATCH(C456,NIVEL!$A:$A,0)),""))</f>
        <v>Un.</v>
      </c>
      <c r="F456" s="10" t="s">
        <v>1013</v>
      </c>
      <c r="G456" s="10" t="n">
        <f aca="false">IFERROR(MATCH(F456,LISTAS!$D$2:$D$22,0),99)</f>
        <v>6</v>
      </c>
      <c r="H456" s="13" t="n">
        <v>4</v>
      </c>
      <c r="I456" s="10" t="s">
        <v>1129</v>
      </c>
      <c r="J456" s="10" t="s">
        <v>1127</v>
      </c>
      <c r="K456" s="10" t="s">
        <v>1041</v>
      </c>
      <c r="L456" s="10"/>
      <c r="M456" s="10" t="str">
        <f aca="false">IF(C456="","SIN ASIGNAR","ASIGNADO")</f>
        <v>ASIGNADO</v>
      </c>
      <c r="N456" s="10" t="s">
        <v>991</v>
      </c>
    </row>
    <row r="457" customFormat="false" ht="15" hidden="false" customHeight="false" outlineLevel="0" collapsed="false">
      <c r="A457" s="10" t="n">
        <v>452</v>
      </c>
      <c r="B457" s="10" t="s">
        <v>25</v>
      </c>
      <c r="C457" s="8" t="s">
        <v>783</v>
      </c>
      <c r="D457" s="10" t="str">
        <f aca="false">IF(C457="","",IFERROR(INDEX(NIVEL!$B:$B,MATCH(C457,NIVEL!$A:$A,0)),"¡Código no existe!"))</f>
        <v>Acople ranurado D=2"</v>
      </c>
      <c r="E457" s="10" t="str">
        <f aca="false">IF(C457="","",IFERROR(INDEX(NIVEL!$C:$C,MATCH(C457,NIVEL!$A:$A,0)),""))</f>
        <v>Un.</v>
      </c>
      <c r="F457" s="10" t="s">
        <v>1014</v>
      </c>
      <c r="G457" s="10" t="n">
        <f aca="false">IFERROR(MATCH(F457,LISTAS!$D$2:$D$22,0),99)</f>
        <v>7</v>
      </c>
      <c r="H457" s="13" t="n">
        <v>1</v>
      </c>
      <c r="I457" s="10" t="s">
        <v>1129</v>
      </c>
      <c r="J457" s="10" t="s">
        <v>1127</v>
      </c>
      <c r="K457" s="10" t="s">
        <v>1046</v>
      </c>
      <c r="L457" s="10"/>
      <c r="M457" s="10" t="str">
        <f aca="false">IF(C457="","SIN ASIGNAR","ASIGNADO")</f>
        <v>ASIGNADO</v>
      </c>
      <c r="N457" s="10" t="s">
        <v>991</v>
      </c>
    </row>
    <row r="458" customFormat="false" ht="15" hidden="false" customHeight="false" outlineLevel="0" collapsed="false">
      <c r="A458" s="10" t="n">
        <v>453</v>
      </c>
      <c r="B458" s="10" t="s">
        <v>25</v>
      </c>
      <c r="C458" s="8" t="s">
        <v>785</v>
      </c>
      <c r="D458" s="10" t="str">
        <f aca="false">IF(C458="","",IFERROR(INDEX(NIVEL!$B:$B,MATCH(C458,NIVEL!$A:$A,0)),"¡Código no existe!"))</f>
        <v>Acople ranurado D=2 1/2"</v>
      </c>
      <c r="E458" s="10" t="str">
        <f aca="false">IF(C458="","",IFERROR(INDEX(NIVEL!$C:$C,MATCH(C458,NIVEL!$A:$A,0)),""))</f>
        <v>Un.</v>
      </c>
      <c r="F458" s="10" t="s">
        <v>1014</v>
      </c>
      <c r="G458" s="10" t="n">
        <f aca="false">IFERROR(MATCH(F458,LISTAS!$D$2:$D$22,0),99)</f>
        <v>7</v>
      </c>
      <c r="H458" s="13" t="n">
        <v>1</v>
      </c>
      <c r="I458" s="10" t="s">
        <v>1129</v>
      </c>
      <c r="J458" s="10" t="s">
        <v>1127</v>
      </c>
      <c r="K458" s="10" t="s">
        <v>1047</v>
      </c>
      <c r="L458" s="10"/>
      <c r="M458" s="10" t="str">
        <f aca="false">IF(C458="","SIN ASIGNAR","ASIGNADO")</f>
        <v>ASIGNADO</v>
      </c>
      <c r="N458" s="10" t="s">
        <v>991</v>
      </c>
    </row>
    <row r="459" customFormat="false" ht="15" hidden="false" customHeight="false" outlineLevel="0" collapsed="false">
      <c r="A459" s="10" t="n">
        <v>454</v>
      </c>
      <c r="B459" s="10" t="s">
        <v>25</v>
      </c>
      <c r="C459" s="8" t="s">
        <v>787</v>
      </c>
      <c r="D459" s="10" t="str">
        <f aca="false">IF(C459="","",IFERROR(INDEX(NIVEL!$B:$B,MATCH(C459,NIVEL!$A:$A,0)),"¡Código no existe!"))</f>
        <v>Acople ranurado D=3"</v>
      </c>
      <c r="E459" s="10" t="str">
        <f aca="false">IF(C459="","",IFERROR(INDEX(NIVEL!$C:$C,MATCH(C459,NIVEL!$A:$A,0)),""))</f>
        <v>Un.</v>
      </c>
      <c r="F459" s="10" t="s">
        <v>1014</v>
      </c>
      <c r="G459" s="10" t="n">
        <f aca="false">IFERROR(MATCH(F459,LISTAS!$D$2:$D$22,0),99)</f>
        <v>7</v>
      </c>
      <c r="H459" s="13" t="n">
        <v>2</v>
      </c>
      <c r="I459" s="10" t="s">
        <v>1129</v>
      </c>
      <c r="J459" s="10" t="s">
        <v>1127</v>
      </c>
      <c r="K459" s="10" t="s">
        <v>1041</v>
      </c>
      <c r="L459" s="10"/>
      <c r="M459" s="10" t="str">
        <f aca="false">IF(C459="","SIN ASIGNAR","ASIGNADO")</f>
        <v>ASIGNADO</v>
      </c>
      <c r="N459" s="10" t="s">
        <v>991</v>
      </c>
    </row>
    <row r="460" customFormat="false" ht="15" hidden="false" customHeight="false" outlineLevel="0" collapsed="false">
      <c r="A460" s="10" t="n">
        <v>455</v>
      </c>
      <c r="B460" s="10" t="s">
        <v>25</v>
      </c>
      <c r="C460" s="8" t="s">
        <v>789</v>
      </c>
      <c r="D460" s="10" t="str">
        <f aca="false">IF(C460="","",IFERROR(INDEX(NIVEL!$B:$B,MATCH(C460,NIVEL!$A:$A,0)),"¡Código no existe!"))</f>
        <v>Acople ranurado D=4"</v>
      </c>
      <c r="E460" s="10" t="str">
        <f aca="false">IF(C460="","",IFERROR(INDEX(NIVEL!$C:$C,MATCH(C460,NIVEL!$A:$A,0)),""))</f>
        <v>Un.</v>
      </c>
      <c r="F460" s="10" t="s">
        <v>1014</v>
      </c>
      <c r="G460" s="10" t="n">
        <f aca="false">IFERROR(MATCH(F460,LISTAS!$D$2:$D$22,0),99)</f>
        <v>7</v>
      </c>
      <c r="H460" s="13" t="n">
        <v>3</v>
      </c>
      <c r="I460" s="10" t="s">
        <v>1129</v>
      </c>
      <c r="J460" s="10" t="s">
        <v>1127</v>
      </c>
      <c r="K460" s="10" t="s">
        <v>1048</v>
      </c>
      <c r="L460" s="10"/>
      <c r="M460" s="10" t="str">
        <f aca="false">IF(C460="","SIN ASIGNAR","ASIGNADO")</f>
        <v>ASIGNADO</v>
      </c>
      <c r="N460" s="10" t="s">
        <v>991</v>
      </c>
    </row>
    <row r="461" customFormat="false" ht="15" hidden="false" customHeight="false" outlineLevel="0" collapsed="false">
      <c r="A461" s="10" t="n">
        <v>456</v>
      </c>
      <c r="B461" s="10" t="s">
        <v>25</v>
      </c>
      <c r="C461" s="8" t="s">
        <v>791</v>
      </c>
      <c r="D461" s="10" t="str">
        <f aca="false">IF(C461="","",IFERROR(INDEX(NIVEL!$B:$B,MATCH(C461,NIVEL!$A:$A,0)),"¡Código no existe!"))</f>
        <v>Acople ranurado D=6"</v>
      </c>
      <c r="E461" s="10" t="str">
        <f aca="false">IF(C461="","",IFERROR(INDEX(NIVEL!$C:$C,MATCH(C461,NIVEL!$A:$A,0)),""))</f>
        <v>Un.</v>
      </c>
      <c r="F461" s="10" t="s">
        <v>1014</v>
      </c>
      <c r="G461" s="10" t="n">
        <f aca="false">IFERROR(MATCH(F461,LISTAS!$D$2:$D$22,0),99)</f>
        <v>7</v>
      </c>
      <c r="H461" s="13" t="n">
        <v>1</v>
      </c>
      <c r="I461" s="10" t="s">
        <v>1129</v>
      </c>
      <c r="J461" s="10" t="s">
        <v>1127</v>
      </c>
      <c r="K461" s="10" t="s">
        <v>1045</v>
      </c>
      <c r="L461" s="10"/>
      <c r="M461" s="10" t="str">
        <f aca="false">IF(C461="","SIN ASIGNAR","ASIGNADO")</f>
        <v>ASIGNADO</v>
      </c>
      <c r="N461" s="10" t="s">
        <v>991</v>
      </c>
    </row>
    <row r="462" customFormat="false" ht="15" hidden="false" customHeight="false" outlineLevel="0" collapsed="false">
      <c r="A462" s="10" t="n">
        <v>457</v>
      </c>
      <c r="B462" s="10" t="s">
        <v>25</v>
      </c>
      <c r="C462" s="8" t="s">
        <v>781</v>
      </c>
      <c r="D462" s="10" t="str">
        <f aca="false">IF(C462="","",IFERROR(INDEX(NIVEL!$B:$B,MATCH(C462,NIVEL!$A:$A,0)),"¡Código no existe!"))</f>
        <v>Acople ranurado D=1-1/2"</v>
      </c>
      <c r="E462" s="10" t="str">
        <f aca="false">IF(C462="","",IFERROR(INDEX(NIVEL!$C:$C,MATCH(C462,NIVEL!$A:$A,0)),""))</f>
        <v>Un.</v>
      </c>
      <c r="F462" s="10" t="s">
        <v>1017</v>
      </c>
      <c r="G462" s="10" t="n">
        <f aca="false">IFERROR(MATCH(F462,LISTAS!$D$2:$D$22,0),99)</f>
        <v>8</v>
      </c>
      <c r="H462" s="13" t="n">
        <v>3</v>
      </c>
      <c r="I462" s="10" t="s">
        <v>1129</v>
      </c>
      <c r="J462" s="10" t="s">
        <v>1127</v>
      </c>
      <c r="K462" s="10" t="s">
        <v>1044</v>
      </c>
      <c r="L462" s="10"/>
      <c r="M462" s="10" t="str">
        <f aca="false">IF(C462="","SIN ASIGNAR","ASIGNADO")</f>
        <v>ASIGNADO</v>
      </c>
      <c r="N462" s="10" t="s">
        <v>991</v>
      </c>
    </row>
    <row r="463" customFormat="false" ht="15" hidden="false" customHeight="false" outlineLevel="0" collapsed="false">
      <c r="A463" s="10" t="n">
        <v>458</v>
      </c>
      <c r="B463" s="10" t="s">
        <v>25</v>
      </c>
      <c r="C463" s="8" t="s">
        <v>783</v>
      </c>
      <c r="D463" s="10" t="str">
        <f aca="false">IF(C463="","",IFERROR(INDEX(NIVEL!$B:$B,MATCH(C463,NIVEL!$A:$A,0)),"¡Código no existe!"))</f>
        <v>Acople ranurado D=2"</v>
      </c>
      <c r="E463" s="10" t="str">
        <f aca="false">IF(C463="","",IFERROR(INDEX(NIVEL!$C:$C,MATCH(C463,NIVEL!$A:$A,0)),""))</f>
        <v>Un.</v>
      </c>
      <c r="F463" s="10" t="s">
        <v>1017</v>
      </c>
      <c r="G463" s="10" t="n">
        <f aca="false">IFERROR(MATCH(F463,LISTAS!$D$2:$D$22,0),99)</f>
        <v>8</v>
      </c>
      <c r="H463" s="13" t="n">
        <v>5</v>
      </c>
      <c r="I463" s="10" t="s">
        <v>1129</v>
      </c>
      <c r="J463" s="10" t="s">
        <v>1127</v>
      </c>
      <c r="K463" s="10" t="s">
        <v>1046</v>
      </c>
      <c r="L463" s="10"/>
      <c r="M463" s="10" t="str">
        <f aca="false">IF(C463="","SIN ASIGNAR","ASIGNADO")</f>
        <v>ASIGNADO</v>
      </c>
      <c r="N463" s="10" t="s">
        <v>991</v>
      </c>
    </row>
    <row r="464" customFormat="false" ht="15" hidden="false" customHeight="false" outlineLevel="0" collapsed="false">
      <c r="A464" s="10" t="n">
        <v>459</v>
      </c>
      <c r="B464" s="10" t="s">
        <v>25</v>
      </c>
      <c r="C464" s="8" t="s">
        <v>787</v>
      </c>
      <c r="D464" s="10" t="str">
        <f aca="false">IF(C464="","",IFERROR(INDEX(NIVEL!$B:$B,MATCH(C464,NIVEL!$A:$A,0)),"¡Código no existe!"))</f>
        <v>Acople ranurado D=3"</v>
      </c>
      <c r="E464" s="10" t="str">
        <f aca="false">IF(C464="","",IFERROR(INDEX(NIVEL!$C:$C,MATCH(C464,NIVEL!$A:$A,0)),""))</f>
        <v>Un.</v>
      </c>
      <c r="F464" s="10" t="s">
        <v>1017</v>
      </c>
      <c r="G464" s="10" t="n">
        <f aca="false">IFERROR(MATCH(F464,LISTAS!$D$2:$D$22,0),99)</f>
        <v>8</v>
      </c>
      <c r="H464" s="13" t="n">
        <v>2</v>
      </c>
      <c r="I464" s="10" t="s">
        <v>1129</v>
      </c>
      <c r="J464" s="10" t="s">
        <v>1127</v>
      </c>
      <c r="K464" s="10" t="s">
        <v>1041</v>
      </c>
      <c r="L464" s="10"/>
      <c r="M464" s="10" t="str">
        <f aca="false">IF(C464="","SIN ASIGNAR","ASIGNADO")</f>
        <v>ASIGNADO</v>
      </c>
      <c r="N464" s="10" t="s">
        <v>991</v>
      </c>
    </row>
    <row r="465" customFormat="false" ht="15" hidden="false" customHeight="false" outlineLevel="0" collapsed="false">
      <c r="A465" s="10" t="n">
        <v>460</v>
      </c>
      <c r="B465" s="10" t="s">
        <v>25</v>
      </c>
      <c r="C465" s="8" t="s">
        <v>783</v>
      </c>
      <c r="D465" s="10" t="str">
        <f aca="false">IF(C465="","",IFERROR(INDEX(NIVEL!$B:$B,MATCH(C465,NIVEL!$A:$A,0)),"¡Código no existe!"))</f>
        <v>Acople ranurado D=2"</v>
      </c>
      <c r="E465" s="10" t="str">
        <f aca="false">IF(C465="","",IFERROR(INDEX(NIVEL!$C:$C,MATCH(C465,NIVEL!$A:$A,0)),""))</f>
        <v>Un.</v>
      </c>
      <c r="F465" s="10" t="s">
        <v>1018</v>
      </c>
      <c r="G465" s="10" t="n">
        <f aca="false">IFERROR(MATCH(F465,LISTAS!$D$2:$D$22,0),99)</f>
        <v>19</v>
      </c>
      <c r="H465" s="13" t="n">
        <v>2</v>
      </c>
      <c r="I465" s="10" t="s">
        <v>1129</v>
      </c>
      <c r="J465" s="10" t="s">
        <v>1127</v>
      </c>
      <c r="K465" s="10" t="s">
        <v>1046</v>
      </c>
      <c r="L465" s="10"/>
      <c r="M465" s="10" t="str">
        <f aca="false">IF(C465="","SIN ASIGNAR","ASIGNADO")</f>
        <v>ASIGNADO</v>
      </c>
      <c r="N465" s="10" t="s">
        <v>991</v>
      </c>
    </row>
    <row r="466" customFormat="false" ht="15" hidden="false" customHeight="false" outlineLevel="0" collapsed="false">
      <c r="A466" s="10" t="n">
        <v>461</v>
      </c>
      <c r="B466" s="10" t="s">
        <v>25</v>
      </c>
      <c r="C466" s="8" t="s">
        <v>791</v>
      </c>
      <c r="D466" s="10" t="str">
        <f aca="false">IF(C466="","",IFERROR(INDEX(NIVEL!$B:$B,MATCH(C466,NIVEL!$A:$A,0)),"¡Código no existe!"))</f>
        <v>Acople ranurado D=6"</v>
      </c>
      <c r="E466" s="10" t="str">
        <f aca="false">IF(C466="","",IFERROR(INDEX(NIVEL!$C:$C,MATCH(C466,NIVEL!$A:$A,0)),""))</f>
        <v>Un.</v>
      </c>
      <c r="F466" s="10" t="s">
        <v>1018</v>
      </c>
      <c r="G466" s="10" t="n">
        <f aca="false">IFERROR(MATCH(F466,LISTAS!$D$2:$D$22,0),99)</f>
        <v>19</v>
      </c>
      <c r="H466" s="13" t="n">
        <v>2</v>
      </c>
      <c r="I466" s="10" t="s">
        <v>1129</v>
      </c>
      <c r="J466" s="10" t="s">
        <v>1127</v>
      </c>
      <c r="K466" s="10" t="s">
        <v>1045</v>
      </c>
      <c r="L466" s="10"/>
      <c r="M466" s="10" t="str">
        <f aca="false">IF(C466="","SIN ASIGNAR","ASIGNADO")</f>
        <v>ASIGNADO</v>
      </c>
      <c r="N466" s="10" t="s">
        <v>991</v>
      </c>
    </row>
  </sheetData>
  <conditionalFormatting sqref="M6:M466">
    <cfRule type="cellIs" priority="2" operator="equal" aboveAverage="0" equalAverage="0" bottom="0" percent="0" rank="0" text="" dxfId="6">
      <formula>"SIN ASIGNAR"</formula>
    </cfRule>
    <cfRule type="cellIs" priority="3" operator="equal" aboveAverage="0" equalAverage="0" bottom="0" percent="0" rank="0" text="" dxfId="7">
      <formula>"ASIGNADO"</formula>
    </cfRule>
  </conditionalFormatting>
  <dataValidations count="1">
    <dataValidation allowBlank="true" error="Use un código del capítulo 7 de NIVEL" errorStyle="stop" errorTitle="Código" operator="between" showDropDown="false" showErrorMessage="true" showInputMessage="false" sqref="C6:C766" type="list">
      <formula1>LISTAS!$A$2:$A$118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6"/>
    <col collapsed="false" customWidth="true" hidden="false" outlineLevel="0" max="25" min="4" style="0" width="8.5"/>
    <col collapsed="false" customWidth="true" hidden="false" outlineLevel="0" max="27" min="26" style="0" width="11"/>
    <col collapsed="false" customWidth="true" hidden="false" outlineLevel="0" max="28" min="28" style="0" width="7"/>
  </cols>
  <sheetData>
    <row r="1" customFormat="false" ht="15" hidden="false" customHeight="false" outlineLevel="0" collapsed="false">
      <c r="A1" s="2" t="s">
        <v>48</v>
      </c>
    </row>
    <row r="2" customFormat="false" ht="17.35" hidden="false" customHeight="false" outlineLevel="0" collapsed="false">
      <c r="A2" s="49" t="s">
        <v>1130</v>
      </c>
    </row>
    <row r="3" customFormat="false" ht="15" hidden="false" customHeight="false" outlineLevel="0" collapsed="false">
      <c r="A3" s="2" t="s">
        <v>1131</v>
      </c>
    </row>
    <row r="4" customFormat="false" ht="15" hidden="true" customHeight="false" outlineLevel="0" collapsed="false">
      <c r="D4" s="50" t="s">
        <v>987</v>
      </c>
      <c r="E4" s="50" t="s">
        <v>1031</v>
      </c>
      <c r="F4" s="50" t="s">
        <v>1008</v>
      </c>
      <c r="G4" s="50" t="s">
        <v>1011</v>
      </c>
      <c r="H4" s="50" t="s">
        <v>1012</v>
      </c>
      <c r="I4" s="50" t="s">
        <v>1013</v>
      </c>
      <c r="J4" s="50" t="s">
        <v>1014</v>
      </c>
      <c r="K4" s="50" t="s">
        <v>1017</v>
      </c>
      <c r="L4" s="50" t="s">
        <v>1049</v>
      </c>
      <c r="M4" s="50" t="s">
        <v>1050</v>
      </c>
      <c r="N4" s="50" t="s">
        <v>1051</v>
      </c>
      <c r="O4" s="50" t="s">
        <v>1052</v>
      </c>
      <c r="P4" s="50" t="s">
        <v>1053</v>
      </c>
      <c r="Q4" s="50" t="s">
        <v>1054</v>
      </c>
      <c r="R4" s="50" t="s">
        <v>1055</v>
      </c>
      <c r="S4" s="50" t="s">
        <v>1056</v>
      </c>
      <c r="T4" s="50" t="s">
        <v>1057</v>
      </c>
      <c r="U4" s="50" t="s">
        <v>1058</v>
      </c>
      <c r="V4" s="50" t="s">
        <v>1018</v>
      </c>
      <c r="W4" s="50" t="s">
        <v>1022</v>
      </c>
      <c r="X4" s="50" t="s">
        <v>1059</v>
      </c>
      <c r="Y4" s="50" t="s">
        <v>1132</v>
      </c>
    </row>
    <row r="5" customFormat="false" ht="23.85" hidden="false" customHeight="false" outlineLevel="0" collapsed="false">
      <c r="A5" s="25" t="s">
        <v>10</v>
      </c>
      <c r="B5" s="25" t="s">
        <v>14</v>
      </c>
      <c r="C5" s="25" t="s">
        <v>978</v>
      </c>
      <c r="D5" s="25" t="s">
        <v>1133</v>
      </c>
      <c r="E5" s="25" t="s">
        <v>28</v>
      </c>
      <c r="F5" s="25" t="s">
        <v>29</v>
      </c>
      <c r="G5" s="25" t="s">
        <v>30</v>
      </c>
      <c r="H5" s="25" t="s">
        <v>31</v>
      </c>
      <c r="I5" s="25" t="s">
        <v>32</v>
      </c>
      <c r="J5" s="25" t="s">
        <v>33</v>
      </c>
      <c r="K5" s="25" t="s">
        <v>34</v>
      </c>
      <c r="L5" s="25" t="s">
        <v>35</v>
      </c>
      <c r="M5" s="25" t="s">
        <v>36</v>
      </c>
      <c r="N5" s="25" t="s">
        <v>37</v>
      </c>
      <c r="O5" s="25" t="s">
        <v>38</v>
      </c>
      <c r="P5" s="25" t="s">
        <v>39</v>
      </c>
      <c r="Q5" s="25" t="s">
        <v>40</v>
      </c>
      <c r="R5" s="25" t="s">
        <v>41</v>
      </c>
      <c r="S5" s="25" t="s">
        <v>42</v>
      </c>
      <c r="T5" s="25" t="s">
        <v>43</v>
      </c>
      <c r="U5" s="25" t="s">
        <v>44</v>
      </c>
      <c r="V5" s="25" t="s">
        <v>45</v>
      </c>
      <c r="W5" s="25" t="s">
        <v>46</v>
      </c>
      <c r="X5" s="25" t="s">
        <v>47</v>
      </c>
      <c r="Y5" s="25" t="s">
        <v>1134</v>
      </c>
      <c r="Z5" s="25" t="s">
        <v>27</v>
      </c>
      <c r="AA5" s="25" t="s">
        <v>1135</v>
      </c>
      <c r="AB5" s="25" t="s">
        <v>1136</v>
      </c>
    </row>
    <row r="6" customFormat="false" ht="15" hidden="false" customHeight="false" outlineLevel="0" collapsed="false">
      <c r="A6" s="10" t="s">
        <v>689</v>
      </c>
      <c r="B6" s="51" t="s">
        <v>690</v>
      </c>
      <c r="C6" s="10" t="s">
        <v>61</v>
      </c>
      <c r="D6" s="13" t="n">
        <f aca="false">SUMIFS(BD_REVIT!$H:$H,BD_REVIT!$C:$C,$A6,BD_REVIT!$F:$F,D$4)</f>
        <v>0</v>
      </c>
      <c r="E6" s="13" t="n">
        <f aca="false">SUMIFS(BD_REVIT!$H:$H,BD_REVIT!$C:$C,$A6,BD_REVIT!$F:$F,E$4)</f>
        <v>0</v>
      </c>
      <c r="F6" s="13" t="n">
        <f aca="false">SUMIFS(BD_REVIT!$H:$H,BD_REVIT!$C:$C,$A6,BD_REVIT!$F:$F,F$4)</f>
        <v>0</v>
      </c>
      <c r="G6" s="13" t="n">
        <f aca="false">SUMIFS(BD_REVIT!$H:$H,BD_REVIT!$C:$C,$A6,BD_REVIT!$F:$F,G$4)</f>
        <v>0</v>
      </c>
      <c r="H6" s="13" t="n">
        <f aca="false">SUMIFS(BD_REVIT!$H:$H,BD_REVIT!$C:$C,$A6,BD_REVIT!$F:$F,H$4)</f>
        <v>0</v>
      </c>
      <c r="I6" s="13" t="n">
        <f aca="false">SUMIFS(BD_REVIT!$H:$H,BD_REVIT!$C:$C,$A6,BD_REVIT!$F:$F,I$4)</f>
        <v>0</v>
      </c>
      <c r="J6" s="13" t="n">
        <f aca="false">SUMIFS(BD_REVIT!$H:$H,BD_REVIT!$C:$C,$A6,BD_REVIT!$F:$F,J$4)</f>
        <v>0</v>
      </c>
      <c r="K6" s="13" t="n">
        <f aca="false">SUMIFS(BD_REVIT!$H:$H,BD_REVIT!$C:$C,$A6,BD_REVIT!$F:$F,K$4)</f>
        <v>0</v>
      </c>
      <c r="L6" s="13" t="n">
        <f aca="false">SUMIFS(BD_REVIT!$H:$H,BD_REVIT!$C:$C,$A6,BD_REVIT!$F:$F,L$4)</f>
        <v>0</v>
      </c>
      <c r="M6" s="13" t="n">
        <f aca="false">SUMIFS(BD_REVIT!$H:$H,BD_REVIT!$C:$C,$A6,BD_REVIT!$F:$F,M$4)</f>
        <v>0</v>
      </c>
      <c r="N6" s="13" t="n">
        <f aca="false">SUMIFS(BD_REVIT!$H:$H,BD_REVIT!$C:$C,$A6,BD_REVIT!$F:$F,N$4)</f>
        <v>0</v>
      </c>
      <c r="O6" s="13" t="n">
        <f aca="false">SUMIFS(BD_REVIT!$H:$H,BD_REVIT!$C:$C,$A6,BD_REVIT!$F:$F,O$4)</f>
        <v>0</v>
      </c>
      <c r="P6" s="13" t="n">
        <f aca="false">SUMIFS(BD_REVIT!$H:$H,BD_REVIT!$C:$C,$A6,BD_REVIT!$F:$F,P$4)</f>
        <v>0</v>
      </c>
      <c r="Q6" s="13" t="n">
        <f aca="false">SUMIFS(BD_REVIT!$H:$H,BD_REVIT!$C:$C,$A6,BD_REVIT!$F:$F,Q$4)</f>
        <v>0</v>
      </c>
      <c r="R6" s="13" t="n">
        <f aca="false">SUMIFS(BD_REVIT!$H:$H,BD_REVIT!$C:$C,$A6,BD_REVIT!$F:$F,R$4)</f>
        <v>0</v>
      </c>
      <c r="S6" s="13" t="n">
        <f aca="false">SUMIFS(BD_REVIT!$H:$H,BD_REVIT!$C:$C,$A6,BD_REVIT!$F:$F,S$4)</f>
        <v>0</v>
      </c>
      <c r="T6" s="13" t="n">
        <f aca="false">SUMIFS(BD_REVIT!$H:$H,BD_REVIT!$C:$C,$A6,BD_REVIT!$F:$F,T$4)</f>
        <v>0</v>
      </c>
      <c r="U6" s="13" t="n">
        <f aca="false">SUMIFS(BD_REVIT!$H:$H,BD_REVIT!$C:$C,$A6,BD_REVIT!$F:$F,U$4)</f>
        <v>0</v>
      </c>
      <c r="V6" s="13" t="n">
        <f aca="false">SUMIFS(BD_REVIT!$H:$H,BD_REVIT!$C:$C,$A6,BD_REVIT!$F:$F,V$4)</f>
        <v>0</v>
      </c>
      <c r="W6" s="13" t="n">
        <f aca="false">SUMIFS(BD_REVIT!$H:$H,BD_REVIT!$C:$C,$A6,BD_REVIT!$F:$F,W$4)</f>
        <v>0</v>
      </c>
      <c r="X6" s="13" t="n">
        <f aca="false">SUMIFS(BD_REVIT!$H:$H,BD_REVIT!$C:$C,$A6,BD_REVIT!$F:$F,X$4)</f>
        <v>0</v>
      </c>
      <c r="Y6" s="13" t="n">
        <f aca="false">SUMIFS(BD_REVIT!$H:$H,BD_REVIT!$C:$C,$A6,BD_REVIT!$F:$F,Y$4)</f>
        <v>0</v>
      </c>
      <c r="Z6" s="52" t="n">
        <f aca="false">SUM(D6:Y6)</f>
        <v>0</v>
      </c>
      <c r="AA6" s="13" t="n">
        <f aca="false">NIVEL!D387</f>
        <v>0</v>
      </c>
      <c r="AB6" s="13" t="n">
        <f aca="false">ROUND(Z6-AA6,2)</f>
        <v>0</v>
      </c>
    </row>
    <row r="7" customFormat="false" ht="15" hidden="false" customHeight="false" outlineLevel="0" collapsed="false">
      <c r="A7" s="10" t="s">
        <v>691</v>
      </c>
      <c r="B7" s="51" t="s">
        <v>692</v>
      </c>
      <c r="C7" s="10" t="s">
        <v>61</v>
      </c>
      <c r="D7" s="13" t="n">
        <f aca="false">SUMIFS(BD_REVIT!$H:$H,BD_REVIT!$C:$C,$A7,BD_REVIT!$F:$F,D$4)</f>
        <v>0</v>
      </c>
      <c r="E7" s="13" t="n">
        <f aca="false">SUMIFS(BD_REVIT!$H:$H,BD_REVIT!$C:$C,$A7,BD_REVIT!$F:$F,E$4)</f>
        <v>0</v>
      </c>
      <c r="F7" s="13" t="n">
        <f aca="false">SUMIFS(BD_REVIT!$H:$H,BD_REVIT!$C:$C,$A7,BD_REVIT!$F:$F,F$4)</f>
        <v>0</v>
      </c>
      <c r="G7" s="13" t="n">
        <f aca="false">SUMIFS(BD_REVIT!$H:$H,BD_REVIT!$C:$C,$A7,BD_REVIT!$F:$F,G$4)</f>
        <v>0</v>
      </c>
      <c r="H7" s="13" t="n">
        <f aca="false">SUMIFS(BD_REVIT!$H:$H,BD_REVIT!$C:$C,$A7,BD_REVIT!$F:$F,H$4)</f>
        <v>0</v>
      </c>
      <c r="I7" s="13" t="n">
        <f aca="false">SUMIFS(BD_REVIT!$H:$H,BD_REVIT!$C:$C,$A7,BD_REVIT!$F:$F,I$4)</f>
        <v>0</v>
      </c>
      <c r="J7" s="13" t="n">
        <f aca="false">SUMIFS(BD_REVIT!$H:$H,BD_REVIT!$C:$C,$A7,BD_REVIT!$F:$F,J$4)</f>
        <v>0</v>
      </c>
      <c r="K7" s="13" t="n">
        <f aca="false">SUMIFS(BD_REVIT!$H:$H,BD_REVIT!$C:$C,$A7,BD_REVIT!$F:$F,K$4)</f>
        <v>0</v>
      </c>
      <c r="L7" s="13" t="n">
        <f aca="false">SUMIFS(BD_REVIT!$H:$H,BD_REVIT!$C:$C,$A7,BD_REVIT!$F:$F,L$4)</f>
        <v>0</v>
      </c>
      <c r="M7" s="13" t="n">
        <f aca="false">SUMIFS(BD_REVIT!$H:$H,BD_REVIT!$C:$C,$A7,BD_REVIT!$F:$F,M$4)</f>
        <v>0</v>
      </c>
      <c r="N7" s="13" t="n">
        <f aca="false">SUMIFS(BD_REVIT!$H:$H,BD_REVIT!$C:$C,$A7,BD_REVIT!$F:$F,N$4)</f>
        <v>0</v>
      </c>
      <c r="O7" s="13" t="n">
        <f aca="false">SUMIFS(BD_REVIT!$H:$H,BD_REVIT!$C:$C,$A7,BD_REVIT!$F:$F,O$4)</f>
        <v>0</v>
      </c>
      <c r="P7" s="13" t="n">
        <f aca="false">SUMIFS(BD_REVIT!$H:$H,BD_REVIT!$C:$C,$A7,BD_REVIT!$F:$F,P$4)</f>
        <v>0</v>
      </c>
      <c r="Q7" s="13" t="n">
        <f aca="false">SUMIFS(BD_REVIT!$H:$H,BD_REVIT!$C:$C,$A7,BD_REVIT!$F:$F,Q$4)</f>
        <v>0</v>
      </c>
      <c r="R7" s="13" t="n">
        <f aca="false">SUMIFS(BD_REVIT!$H:$H,BD_REVIT!$C:$C,$A7,BD_REVIT!$F:$F,R$4)</f>
        <v>0</v>
      </c>
      <c r="S7" s="13" t="n">
        <f aca="false">SUMIFS(BD_REVIT!$H:$H,BD_REVIT!$C:$C,$A7,BD_REVIT!$F:$F,S$4)</f>
        <v>0</v>
      </c>
      <c r="T7" s="13" t="n">
        <f aca="false">SUMIFS(BD_REVIT!$H:$H,BD_REVIT!$C:$C,$A7,BD_REVIT!$F:$F,T$4)</f>
        <v>0</v>
      </c>
      <c r="U7" s="13" t="n">
        <f aca="false">SUMIFS(BD_REVIT!$H:$H,BD_REVIT!$C:$C,$A7,BD_REVIT!$F:$F,U$4)</f>
        <v>0</v>
      </c>
      <c r="V7" s="13" t="n">
        <f aca="false">SUMIFS(BD_REVIT!$H:$H,BD_REVIT!$C:$C,$A7,BD_REVIT!$F:$F,V$4)</f>
        <v>0</v>
      </c>
      <c r="W7" s="13" t="n">
        <f aca="false">SUMIFS(BD_REVIT!$H:$H,BD_REVIT!$C:$C,$A7,BD_REVIT!$F:$F,W$4)</f>
        <v>0</v>
      </c>
      <c r="X7" s="13" t="n">
        <f aca="false">SUMIFS(BD_REVIT!$H:$H,BD_REVIT!$C:$C,$A7,BD_REVIT!$F:$F,X$4)</f>
        <v>0</v>
      </c>
      <c r="Y7" s="13" t="n">
        <f aca="false">SUMIFS(BD_REVIT!$H:$H,BD_REVIT!$C:$C,$A7,BD_REVIT!$F:$F,Y$4)</f>
        <v>0</v>
      </c>
      <c r="Z7" s="52" t="n">
        <f aca="false">SUM(D7:Y7)</f>
        <v>0</v>
      </c>
      <c r="AA7" s="13" t="n">
        <f aca="false">NIVEL!D388</f>
        <v>0</v>
      </c>
      <c r="AB7" s="13" t="n">
        <f aca="false">ROUND(Z7-AA7,2)</f>
        <v>0</v>
      </c>
    </row>
    <row r="8" customFormat="false" ht="15" hidden="false" customHeight="false" outlineLevel="0" collapsed="false">
      <c r="A8" s="10" t="s">
        <v>693</v>
      </c>
      <c r="B8" s="51" t="s">
        <v>694</v>
      </c>
      <c r="C8" s="10" t="s">
        <v>61</v>
      </c>
      <c r="D8" s="13" t="n">
        <f aca="false">SUMIFS(BD_REVIT!$H:$H,BD_REVIT!$C:$C,$A8,BD_REVIT!$F:$F,D$4)</f>
        <v>0</v>
      </c>
      <c r="E8" s="13" t="n">
        <f aca="false">SUMIFS(BD_REVIT!$H:$H,BD_REVIT!$C:$C,$A8,BD_REVIT!$F:$F,E$4)</f>
        <v>0</v>
      </c>
      <c r="F8" s="13" t="n">
        <f aca="false">SUMIFS(BD_REVIT!$H:$H,BD_REVIT!$C:$C,$A8,BD_REVIT!$F:$F,F$4)</f>
        <v>0</v>
      </c>
      <c r="G8" s="13" t="n">
        <f aca="false">SUMIFS(BD_REVIT!$H:$H,BD_REVIT!$C:$C,$A8,BD_REVIT!$F:$F,G$4)</f>
        <v>0</v>
      </c>
      <c r="H8" s="13" t="n">
        <f aca="false">SUMIFS(BD_REVIT!$H:$H,BD_REVIT!$C:$C,$A8,BD_REVIT!$F:$F,H$4)</f>
        <v>0</v>
      </c>
      <c r="I8" s="13" t="n">
        <f aca="false">SUMIFS(BD_REVIT!$H:$H,BD_REVIT!$C:$C,$A8,BD_REVIT!$F:$F,I$4)</f>
        <v>0</v>
      </c>
      <c r="J8" s="13" t="n">
        <f aca="false">SUMIFS(BD_REVIT!$H:$H,BD_REVIT!$C:$C,$A8,BD_REVIT!$F:$F,J$4)</f>
        <v>0</v>
      </c>
      <c r="K8" s="13" t="n">
        <f aca="false">SUMIFS(BD_REVIT!$H:$H,BD_REVIT!$C:$C,$A8,BD_REVIT!$F:$F,K$4)</f>
        <v>0</v>
      </c>
      <c r="L8" s="13" t="n">
        <f aca="false">SUMIFS(BD_REVIT!$H:$H,BD_REVIT!$C:$C,$A8,BD_REVIT!$F:$F,L$4)</f>
        <v>0</v>
      </c>
      <c r="M8" s="13" t="n">
        <f aca="false">SUMIFS(BD_REVIT!$H:$H,BD_REVIT!$C:$C,$A8,BD_REVIT!$F:$F,M$4)</f>
        <v>0</v>
      </c>
      <c r="N8" s="13" t="n">
        <f aca="false">SUMIFS(BD_REVIT!$H:$H,BD_REVIT!$C:$C,$A8,BD_REVIT!$F:$F,N$4)</f>
        <v>0</v>
      </c>
      <c r="O8" s="13" t="n">
        <f aca="false">SUMIFS(BD_REVIT!$H:$H,BD_REVIT!$C:$C,$A8,BD_REVIT!$F:$F,O$4)</f>
        <v>0</v>
      </c>
      <c r="P8" s="13" t="n">
        <f aca="false">SUMIFS(BD_REVIT!$H:$H,BD_REVIT!$C:$C,$A8,BD_REVIT!$F:$F,P$4)</f>
        <v>0</v>
      </c>
      <c r="Q8" s="13" t="n">
        <f aca="false">SUMIFS(BD_REVIT!$H:$H,BD_REVIT!$C:$C,$A8,BD_REVIT!$F:$F,Q$4)</f>
        <v>0</v>
      </c>
      <c r="R8" s="13" t="n">
        <f aca="false">SUMIFS(BD_REVIT!$H:$H,BD_REVIT!$C:$C,$A8,BD_REVIT!$F:$F,R$4)</f>
        <v>0</v>
      </c>
      <c r="S8" s="13" t="n">
        <f aca="false">SUMIFS(BD_REVIT!$H:$H,BD_REVIT!$C:$C,$A8,BD_REVIT!$F:$F,S$4)</f>
        <v>0</v>
      </c>
      <c r="T8" s="13" t="n">
        <f aca="false">SUMIFS(BD_REVIT!$H:$H,BD_REVIT!$C:$C,$A8,BD_REVIT!$F:$F,T$4)</f>
        <v>0</v>
      </c>
      <c r="U8" s="13" t="n">
        <f aca="false">SUMIFS(BD_REVIT!$H:$H,BD_REVIT!$C:$C,$A8,BD_REVIT!$F:$F,U$4)</f>
        <v>0</v>
      </c>
      <c r="V8" s="13" t="n">
        <f aca="false">SUMIFS(BD_REVIT!$H:$H,BD_REVIT!$C:$C,$A8,BD_REVIT!$F:$F,V$4)</f>
        <v>0</v>
      </c>
      <c r="W8" s="13" t="n">
        <f aca="false">SUMIFS(BD_REVIT!$H:$H,BD_REVIT!$C:$C,$A8,BD_REVIT!$F:$F,W$4)</f>
        <v>0</v>
      </c>
      <c r="X8" s="13" t="n">
        <f aca="false">SUMIFS(BD_REVIT!$H:$H,BD_REVIT!$C:$C,$A8,BD_REVIT!$F:$F,X$4)</f>
        <v>0</v>
      </c>
      <c r="Y8" s="13" t="n">
        <f aca="false">SUMIFS(BD_REVIT!$H:$H,BD_REVIT!$C:$C,$A8,BD_REVIT!$F:$F,Y$4)</f>
        <v>0</v>
      </c>
      <c r="Z8" s="52" t="n">
        <f aca="false">SUM(D8:Y8)</f>
        <v>0</v>
      </c>
      <c r="AA8" s="13" t="n">
        <f aca="false">NIVEL!D389</f>
        <v>0</v>
      </c>
      <c r="AB8" s="13" t="n">
        <f aca="false">ROUND(Z8-AA8,2)</f>
        <v>0</v>
      </c>
    </row>
    <row r="9" customFormat="false" ht="15" hidden="false" customHeight="false" outlineLevel="0" collapsed="false">
      <c r="A9" s="10" t="s">
        <v>696</v>
      </c>
      <c r="B9" s="51" t="s">
        <v>697</v>
      </c>
      <c r="C9" s="10" t="s">
        <v>61</v>
      </c>
      <c r="D9" s="13" t="n">
        <f aca="false">SUMIFS(BD_REVIT!$H:$H,BD_REVIT!$C:$C,$A9,BD_REVIT!$F:$F,D$4)</f>
        <v>0</v>
      </c>
      <c r="E9" s="13" t="n">
        <f aca="false">SUMIFS(BD_REVIT!$H:$H,BD_REVIT!$C:$C,$A9,BD_REVIT!$F:$F,E$4)</f>
        <v>0</v>
      </c>
      <c r="F9" s="13" t="n">
        <f aca="false">SUMIFS(BD_REVIT!$H:$H,BD_REVIT!$C:$C,$A9,BD_REVIT!$F:$F,F$4)</f>
        <v>0</v>
      </c>
      <c r="G9" s="13" t="n">
        <f aca="false">SUMIFS(BD_REVIT!$H:$H,BD_REVIT!$C:$C,$A9,BD_REVIT!$F:$F,G$4)</f>
        <v>0</v>
      </c>
      <c r="H9" s="13" t="n">
        <f aca="false">SUMIFS(BD_REVIT!$H:$H,BD_REVIT!$C:$C,$A9,BD_REVIT!$F:$F,H$4)</f>
        <v>0</v>
      </c>
      <c r="I9" s="13" t="n">
        <f aca="false">SUMIFS(BD_REVIT!$H:$H,BD_REVIT!$C:$C,$A9,BD_REVIT!$F:$F,I$4)</f>
        <v>0</v>
      </c>
      <c r="J9" s="13" t="n">
        <f aca="false">SUMIFS(BD_REVIT!$H:$H,BD_REVIT!$C:$C,$A9,BD_REVIT!$F:$F,J$4)</f>
        <v>0</v>
      </c>
      <c r="K9" s="13" t="n">
        <f aca="false">SUMIFS(BD_REVIT!$H:$H,BD_REVIT!$C:$C,$A9,BD_REVIT!$F:$F,K$4)</f>
        <v>0</v>
      </c>
      <c r="L9" s="13" t="n">
        <f aca="false">SUMIFS(BD_REVIT!$H:$H,BD_REVIT!$C:$C,$A9,BD_REVIT!$F:$F,L$4)</f>
        <v>0</v>
      </c>
      <c r="M9" s="13" t="n">
        <f aca="false">SUMIFS(BD_REVIT!$H:$H,BD_REVIT!$C:$C,$A9,BD_REVIT!$F:$F,M$4)</f>
        <v>0</v>
      </c>
      <c r="N9" s="13" t="n">
        <f aca="false">SUMIFS(BD_REVIT!$H:$H,BD_REVIT!$C:$C,$A9,BD_REVIT!$F:$F,N$4)</f>
        <v>0</v>
      </c>
      <c r="O9" s="13" t="n">
        <f aca="false">SUMIFS(BD_REVIT!$H:$H,BD_REVIT!$C:$C,$A9,BD_REVIT!$F:$F,O$4)</f>
        <v>0</v>
      </c>
      <c r="P9" s="13" t="n">
        <f aca="false">SUMIFS(BD_REVIT!$H:$H,BD_REVIT!$C:$C,$A9,BD_REVIT!$F:$F,P$4)</f>
        <v>0</v>
      </c>
      <c r="Q9" s="13" t="n">
        <f aca="false">SUMIFS(BD_REVIT!$H:$H,BD_REVIT!$C:$C,$A9,BD_REVIT!$F:$F,Q$4)</f>
        <v>0</v>
      </c>
      <c r="R9" s="13" t="n">
        <f aca="false">SUMIFS(BD_REVIT!$H:$H,BD_REVIT!$C:$C,$A9,BD_REVIT!$F:$F,R$4)</f>
        <v>0</v>
      </c>
      <c r="S9" s="13" t="n">
        <f aca="false">SUMIFS(BD_REVIT!$H:$H,BD_REVIT!$C:$C,$A9,BD_REVIT!$F:$F,S$4)</f>
        <v>0</v>
      </c>
      <c r="T9" s="13" t="n">
        <f aca="false">SUMIFS(BD_REVIT!$H:$H,BD_REVIT!$C:$C,$A9,BD_REVIT!$F:$F,T$4)</f>
        <v>0</v>
      </c>
      <c r="U9" s="13" t="n">
        <f aca="false">SUMIFS(BD_REVIT!$H:$H,BD_REVIT!$C:$C,$A9,BD_REVIT!$F:$F,U$4)</f>
        <v>0</v>
      </c>
      <c r="V9" s="13" t="n">
        <f aca="false">SUMIFS(BD_REVIT!$H:$H,BD_REVIT!$C:$C,$A9,BD_REVIT!$F:$F,V$4)</f>
        <v>0</v>
      </c>
      <c r="W9" s="13" t="n">
        <f aca="false">SUMIFS(BD_REVIT!$H:$H,BD_REVIT!$C:$C,$A9,BD_REVIT!$F:$F,W$4)</f>
        <v>0</v>
      </c>
      <c r="X9" s="13" t="n">
        <f aca="false">SUMIFS(BD_REVIT!$H:$H,BD_REVIT!$C:$C,$A9,BD_REVIT!$F:$F,X$4)</f>
        <v>0</v>
      </c>
      <c r="Y9" s="13" t="n">
        <f aca="false">SUMIFS(BD_REVIT!$H:$H,BD_REVIT!$C:$C,$A9,BD_REVIT!$F:$F,Y$4)</f>
        <v>0</v>
      </c>
      <c r="Z9" s="52" t="n">
        <f aca="false">SUM(D9:Y9)</f>
        <v>0</v>
      </c>
      <c r="AA9" s="13" t="n">
        <f aca="false">NIVEL!D391</f>
        <v>0</v>
      </c>
      <c r="AB9" s="13" t="n">
        <f aca="false">ROUND(Z9-AA9,2)</f>
        <v>0</v>
      </c>
    </row>
    <row r="10" customFormat="false" ht="15" hidden="false" customHeight="false" outlineLevel="0" collapsed="false">
      <c r="A10" s="10" t="s">
        <v>698</v>
      </c>
      <c r="B10" s="51" t="s">
        <v>699</v>
      </c>
      <c r="C10" s="10" t="s">
        <v>61</v>
      </c>
      <c r="D10" s="13" t="n">
        <f aca="false">SUMIFS(BD_REVIT!$H:$H,BD_REVIT!$C:$C,$A10,BD_REVIT!$F:$F,D$4)</f>
        <v>0</v>
      </c>
      <c r="E10" s="13" t="n">
        <f aca="false">SUMIFS(BD_REVIT!$H:$H,BD_REVIT!$C:$C,$A10,BD_REVIT!$F:$F,E$4)</f>
        <v>0</v>
      </c>
      <c r="F10" s="13" t="n">
        <f aca="false">SUMIFS(BD_REVIT!$H:$H,BD_REVIT!$C:$C,$A10,BD_REVIT!$F:$F,F$4)</f>
        <v>0</v>
      </c>
      <c r="G10" s="13" t="n">
        <f aca="false">SUMIFS(BD_REVIT!$H:$H,BD_REVIT!$C:$C,$A10,BD_REVIT!$F:$F,G$4)</f>
        <v>0</v>
      </c>
      <c r="H10" s="13" t="n">
        <f aca="false">SUMIFS(BD_REVIT!$H:$H,BD_REVIT!$C:$C,$A10,BD_REVIT!$F:$F,H$4)</f>
        <v>0</v>
      </c>
      <c r="I10" s="13" t="n">
        <f aca="false">SUMIFS(BD_REVIT!$H:$H,BD_REVIT!$C:$C,$A10,BD_REVIT!$F:$F,I$4)</f>
        <v>0</v>
      </c>
      <c r="J10" s="13" t="n">
        <f aca="false">SUMIFS(BD_REVIT!$H:$H,BD_REVIT!$C:$C,$A10,BD_REVIT!$F:$F,J$4)</f>
        <v>94</v>
      </c>
      <c r="K10" s="13" t="n">
        <f aca="false">SUMIFS(BD_REVIT!$H:$H,BD_REVIT!$C:$C,$A10,BD_REVIT!$F:$F,K$4)</f>
        <v>24</v>
      </c>
      <c r="L10" s="13" t="n">
        <f aca="false">SUMIFS(BD_REVIT!$H:$H,BD_REVIT!$C:$C,$A10,BD_REVIT!$F:$F,L$4)</f>
        <v>0</v>
      </c>
      <c r="M10" s="13" t="n">
        <f aca="false">SUMIFS(BD_REVIT!$H:$H,BD_REVIT!$C:$C,$A10,BD_REVIT!$F:$F,M$4)</f>
        <v>0</v>
      </c>
      <c r="N10" s="13" t="n">
        <f aca="false">SUMIFS(BD_REVIT!$H:$H,BD_REVIT!$C:$C,$A10,BD_REVIT!$F:$F,N$4)</f>
        <v>0</v>
      </c>
      <c r="O10" s="13" t="n">
        <f aca="false">SUMIFS(BD_REVIT!$H:$H,BD_REVIT!$C:$C,$A10,BD_REVIT!$F:$F,O$4)</f>
        <v>0</v>
      </c>
      <c r="P10" s="13" t="n">
        <f aca="false">SUMIFS(BD_REVIT!$H:$H,BD_REVIT!$C:$C,$A10,BD_REVIT!$F:$F,P$4)</f>
        <v>0</v>
      </c>
      <c r="Q10" s="13" t="n">
        <f aca="false">SUMIFS(BD_REVIT!$H:$H,BD_REVIT!$C:$C,$A10,BD_REVIT!$F:$F,Q$4)</f>
        <v>0</v>
      </c>
      <c r="R10" s="13" t="n">
        <f aca="false">SUMIFS(BD_REVIT!$H:$H,BD_REVIT!$C:$C,$A10,BD_REVIT!$F:$F,R$4)</f>
        <v>0</v>
      </c>
      <c r="S10" s="13" t="n">
        <f aca="false">SUMIFS(BD_REVIT!$H:$H,BD_REVIT!$C:$C,$A10,BD_REVIT!$F:$F,S$4)</f>
        <v>0</v>
      </c>
      <c r="T10" s="13" t="n">
        <f aca="false">SUMIFS(BD_REVIT!$H:$H,BD_REVIT!$C:$C,$A10,BD_REVIT!$F:$F,T$4)</f>
        <v>0</v>
      </c>
      <c r="U10" s="13" t="n">
        <f aca="false">SUMIFS(BD_REVIT!$H:$H,BD_REVIT!$C:$C,$A10,BD_REVIT!$F:$F,U$4)</f>
        <v>0</v>
      </c>
      <c r="V10" s="13" t="n">
        <f aca="false">SUMIFS(BD_REVIT!$H:$H,BD_REVIT!$C:$C,$A10,BD_REVIT!$F:$F,V$4)</f>
        <v>0</v>
      </c>
      <c r="W10" s="13" t="n">
        <f aca="false">SUMIFS(BD_REVIT!$H:$H,BD_REVIT!$C:$C,$A10,BD_REVIT!$F:$F,W$4)</f>
        <v>0</v>
      </c>
      <c r="X10" s="13" t="n">
        <f aca="false">SUMIFS(BD_REVIT!$H:$H,BD_REVIT!$C:$C,$A10,BD_REVIT!$F:$F,X$4)</f>
        <v>0</v>
      </c>
      <c r="Y10" s="13" t="n">
        <f aca="false">SUMIFS(BD_REVIT!$H:$H,BD_REVIT!$C:$C,$A10,BD_REVIT!$F:$F,Y$4)</f>
        <v>0</v>
      </c>
      <c r="Z10" s="52" t="n">
        <f aca="false">SUM(D10:Y10)</f>
        <v>118</v>
      </c>
      <c r="AA10" s="13" t="n">
        <f aca="false">NIVEL!D393</f>
        <v>118</v>
      </c>
      <c r="AB10" s="13" t="n">
        <f aca="false">ROUND(Z10-AA10,2)</f>
        <v>0</v>
      </c>
    </row>
    <row r="11" customFormat="false" ht="15" hidden="false" customHeight="false" outlineLevel="0" collapsed="false">
      <c r="A11" s="10" t="s">
        <v>700</v>
      </c>
      <c r="B11" s="51" t="s">
        <v>701</v>
      </c>
      <c r="C11" s="10" t="s">
        <v>61</v>
      </c>
      <c r="D11" s="13" t="n">
        <f aca="false">SUMIFS(BD_REVIT!$H:$H,BD_REVIT!$C:$C,$A11,BD_REVIT!$F:$F,D$4)</f>
        <v>0</v>
      </c>
      <c r="E11" s="13" t="n">
        <f aca="false">SUMIFS(BD_REVIT!$H:$H,BD_REVIT!$C:$C,$A11,BD_REVIT!$F:$F,E$4)</f>
        <v>33</v>
      </c>
      <c r="F11" s="13" t="n">
        <f aca="false">SUMIFS(BD_REVIT!$H:$H,BD_REVIT!$C:$C,$A11,BD_REVIT!$F:$F,F$4)</f>
        <v>0</v>
      </c>
      <c r="G11" s="13" t="n">
        <f aca="false">SUMIFS(BD_REVIT!$H:$H,BD_REVIT!$C:$C,$A11,BD_REVIT!$F:$F,G$4)</f>
        <v>46</v>
      </c>
      <c r="H11" s="13" t="n">
        <f aca="false">SUMIFS(BD_REVIT!$H:$H,BD_REVIT!$C:$C,$A11,BD_REVIT!$F:$F,H$4)</f>
        <v>72</v>
      </c>
      <c r="I11" s="13" t="n">
        <f aca="false">SUMIFS(BD_REVIT!$H:$H,BD_REVIT!$C:$C,$A11,BD_REVIT!$F:$F,I$4)</f>
        <v>73</v>
      </c>
      <c r="J11" s="13" t="n">
        <f aca="false">SUMIFS(BD_REVIT!$H:$H,BD_REVIT!$C:$C,$A11,BD_REVIT!$F:$F,J$4)</f>
        <v>0</v>
      </c>
      <c r="K11" s="13" t="n">
        <f aca="false">SUMIFS(BD_REVIT!$H:$H,BD_REVIT!$C:$C,$A11,BD_REVIT!$F:$F,K$4)</f>
        <v>0</v>
      </c>
      <c r="L11" s="13" t="n">
        <f aca="false">SUMIFS(BD_REVIT!$H:$H,BD_REVIT!$C:$C,$A11,BD_REVIT!$F:$F,L$4)</f>
        <v>0</v>
      </c>
      <c r="M11" s="13" t="n">
        <f aca="false">SUMIFS(BD_REVIT!$H:$H,BD_REVIT!$C:$C,$A11,BD_REVIT!$F:$F,M$4)</f>
        <v>0</v>
      </c>
      <c r="N11" s="13" t="n">
        <f aca="false">SUMIFS(BD_REVIT!$H:$H,BD_REVIT!$C:$C,$A11,BD_REVIT!$F:$F,N$4)</f>
        <v>0</v>
      </c>
      <c r="O11" s="13" t="n">
        <f aca="false">SUMIFS(BD_REVIT!$H:$H,BD_REVIT!$C:$C,$A11,BD_REVIT!$F:$F,O$4)</f>
        <v>0</v>
      </c>
      <c r="P11" s="13" t="n">
        <f aca="false">SUMIFS(BD_REVIT!$H:$H,BD_REVIT!$C:$C,$A11,BD_REVIT!$F:$F,P$4)</f>
        <v>0</v>
      </c>
      <c r="Q11" s="13" t="n">
        <f aca="false">SUMIFS(BD_REVIT!$H:$H,BD_REVIT!$C:$C,$A11,BD_REVIT!$F:$F,Q$4)</f>
        <v>0</v>
      </c>
      <c r="R11" s="13" t="n">
        <f aca="false">SUMIFS(BD_REVIT!$H:$H,BD_REVIT!$C:$C,$A11,BD_REVIT!$F:$F,R$4)</f>
        <v>0</v>
      </c>
      <c r="S11" s="13" t="n">
        <f aca="false">SUMIFS(BD_REVIT!$H:$H,BD_REVIT!$C:$C,$A11,BD_REVIT!$F:$F,S$4)</f>
        <v>0</v>
      </c>
      <c r="T11" s="13" t="n">
        <f aca="false">SUMIFS(BD_REVIT!$H:$H,BD_REVIT!$C:$C,$A11,BD_REVIT!$F:$F,T$4)</f>
        <v>0</v>
      </c>
      <c r="U11" s="13" t="n">
        <f aca="false">SUMIFS(BD_REVIT!$H:$H,BD_REVIT!$C:$C,$A11,BD_REVIT!$F:$F,U$4)</f>
        <v>0</v>
      </c>
      <c r="V11" s="13" t="n">
        <f aca="false">SUMIFS(BD_REVIT!$H:$H,BD_REVIT!$C:$C,$A11,BD_REVIT!$F:$F,V$4)</f>
        <v>0</v>
      </c>
      <c r="W11" s="13" t="n">
        <f aca="false">SUMIFS(BD_REVIT!$H:$H,BD_REVIT!$C:$C,$A11,BD_REVIT!$F:$F,W$4)</f>
        <v>0</v>
      </c>
      <c r="X11" s="13" t="n">
        <f aca="false">SUMIFS(BD_REVIT!$H:$H,BD_REVIT!$C:$C,$A11,BD_REVIT!$F:$F,X$4)</f>
        <v>0</v>
      </c>
      <c r="Y11" s="13" t="n">
        <f aca="false">SUMIFS(BD_REVIT!$H:$H,BD_REVIT!$C:$C,$A11,BD_REVIT!$F:$F,Y$4)</f>
        <v>0</v>
      </c>
      <c r="Z11" s="52" t="n">
        <f aca="false">SUM(D11:Y11)</f>
        <v>224</v>
      </c>
      <c r="AA11" s="13" t="n">
        <f aca="false">NIVEL!D394</f>
        <v>224</v>
      </c>
      <c r="AB11" s="13" t="n">
        <f aca="false">ROUND(Z11-AA11,2)</f>
        <v>0</v>
      </c>
    </row>
    <row r="12" customFormat="false" ht="15" hidden="false" customHeight="false" outlineLevel="0" collapsed="false">
      <c r="A12" s="10" t="s">
        <v>703</v>
      </c>
      <c r="B12" s="51" t="s">
        <v>704</v>
      </c>
      <c r="C12" s="10" t="s">
        <v>75</v>
      </c>
      <c r="D12" s="13" t="n">
        <f aca="false">SUMIFS(BD_REVIT!$H:$H,BD_REVIT!$C:$C,$A12,BD_REVIT!$F:$F,D$4)</f>
        <v>0.25</v>
      </c>
      <c r="E12" s="13" t="n">
        <f aca="false">SUMIFS(BD_REVIT!$H:$H,BD_REVIT!$C:$C,$A12,BD_REVIT!$F:$F,E$4)</f>
        <v>0.94</v>
      </c>
      <c r="F12" s="13" t="n">
        <f aca="false">SUMIFS(BD_REVIT!$H:$H,BD_REVIT!$C:$C,$A12,BD_REVIT!$F:$F,F$4)</f>
        <v>5.07</v>
      </c>
      <c r="G12" s="13" t="n">
        <f aca="false">SUMIFS(BD_REVIT!$H:$H,BD_REVIT!$C:$C,$A12,BD_REVIT!$F:$F,G$4)</f>
        <v>11.49</v>
      </c>
      <c r="H12" s="13" t="n">
        <f aca="false">SUMIFS(BD_REVIT!$H:$H,BD_REVIT!$C:$C,$A12,BD_REVIT!$F:$F,H$4)</f>
        <v>6.64</v>
      </c>
      <c r="I12" s="13" t="n">
        <f aca="false">SUMIFS(BD_REVIT!$H:$H,BD_REVIT!$C:$C,$A12,BD_REVIT!$F:$F,I$4)</f>
        <v>0.41</v>
      </c>
      <c r="J12" s="13" t="n">
        <f aca="false">SUMIFS(BD_REVIT!$H:$H,BD_REVIT!$C:$C,$A12,BD_REVIT!$F:$F,J$4)</f>
        <v>12.34</v>
      </c>
      <c r="K12" s="13" t="n">
        <f aca="false">SUMIFS(BD_REVIT!$H:$H,BD_REVIT!$C:$C,$A12,BD_REVIT!$F:$F,K$4)</f>
        <v>4.55</v>
      </c>
      <c r="L12" s="13" t="n">
        <f aca="false">SUMIFS(BD_REVIT!$H:$H,BD_REVIT!$C:$C,$A12,BD_REVIT!$F:$F,L$4)</f>
        <v>0</v>
      </c>
      <c r="M12" s="13" t="n">
        <f aca="false">SUMIFS(BD_REVIT!$H:$H,BD_REVIT!$C:$C,$A12,BD_REVIT!$F:$F,M$4)</f>
        <v>0</v>
      </c>
      <c r="N12" s="13" t="n">
        <f aca="false">SUMIFS(BD_REVIT!$H:$H,BD_REVIT!$C:$C,$A12,BD_REVIT!$F:$F,N$4)</f>
        <v>0</v>
      </c>
      <c r="O12" s="13" t="n">
        <f aca="false">SUMIFS(BD_REVIT!$H:$H,BD_REVIT!$C:$C,$A12,BD_REVIT!$F:$F,O$4)</f>
        <v>0</v>
      </c>
      <c r="P12" s="13" t="n">
        <f aca="false">SUMIFS(BD_REVIT!$H:$H,BD_REVIT!$C:$C,$A12,BD_REVIT!$F:$F,P$4)</f>
        <v>0</v>
      </c>
      <c r="Q12" s="13" t="n">
        <f aca="false">SUMIFS(BD_REVIT!$H:$H,BD_REVIT!$C:$C,$A12,BD_REVIT!$F:$F,Q$4)</f>
        <v>0</v>
      </c>
      <c r="R12" s="13" t="n">
        <f aca="false">SUMIFS(BD_REVIT!$H:$H,BD_REVIT!$C:$C,$A12,BD_REVIT!$F:$F,R$4)</f>
        <v>0</v>
      </c>
      <c r="S12" s="13" t="n">
        <f aca="false">SUMIFS(BD_REVIT!$H:$H,BD_REVIT!$C:$C,$A12,BD_REVIT!$F:$F,S$4)</f>
        <v>0</v>
      </c>
      <c r="T12" s="13" t="n">
        <f aca="false">SUMIFS(BD_REVIT!$H:$H,BD_REVIT!$C:$C,$A12,BD_REVIT!$F:$F,T$4)</f>
        <v>0</v>
      </c>
      <c r="U12" s="13" t="n">
        <f aca="false">SUMIFS(BD_REVIT!$H:$H,BD_REVIT!$C:$C,$A12,BD_REVIT!$F:$F,U$4)</f>
        <v>0</v>
      </c>
      <c r="V12" s="13" t="n">
        <f aca="false">SUMIFS(BD_REVIT!$H:$H,BD_REVIT!$C:$C,$A12,BD_REVIT!$F:$F,V$4)</f>
        <v>12.14</v>
      </c>
      <c r="W12" s="13" t="n">
        <f aca="false">SUMIFS(BD_REVIT!$H:$H,BD_REVIT!$C:$C,$A12,BD_REVIT!$F:$F,W$4)</f>
        <v>0</v>
      </c>
      <c r="X12" s="13" t="n">
        <f aca="false">SUMIFS(BD_REVIT!$H:$H,BD_REVIT!$C:$C,$A12,BD_REVIT!$F:$F,X$4)</f>
        <v>0</v>
      </c>
      <c r="Y12" s="13" t="n">
        <f aca="false">SUMIFS(BD_REVIT!$H:$H,BD_REVIT!$C:$C,$A12,BD_REVIT!$F:$F,Y$4)</f>
        <v>0</v>
      </c>
      <c r="Z12" s="52" t="n">
        <f aca="false">SUM(D12:Y12)</f>
        <v>53.83</v>
      </c>
      <c r="AA12" s="13" t="n">
        <f aca="false">NIVEL!D396</f>
        <v>53.83</v>
      </c>
      <c r="AB12" s="13" t="n">
        <f aca="false">ROUND(Z12-AA12,2)</f>
        <v>0</v>
      </c>
    </row>
    <row r="13" customFormat="false" ht="15" hidden="false" customHeight="false" outlineLevel="0" collapsed="false">
      <c r="A13" s="10" t="s">
        <v>705</v>
      </c>
      <c r="B13" s="51" t="s">
        <v>706</v>
      </c>
      <c r="C13" s="10" t="s">
        <v>75</v>
      </c>
      <c r="D13" s="13" t="n">
        <f aca="false">SUMIFS(BD_REVIT!$H:$H,BD_REVIT!$C:$C,$A13,BD_REVIT!$F:$F,D$4)</f>
        <v>0</v>
      </c>
      <c r="E13" s="13" t="n">
        <f aca="false">SUMIFS(BD_REVIT!$H:$H,BD_REVIT!$C:$C,$A13,BD_REVIT!$F:$F,E$4)</f>
        <v>0</v>
      </c>
      <c r="F13" s="13" t="n">
        <f aca="false">SUMIFS(BD_REVIT!$H:$H,BD_REVIT!$C:$C,$A13,BD_REVIT!$F:$F,F$4)</f>
        <v>0.22</v>
      </c>
      <c r="G13" s="13" t="n">
        <f aca="false">SUMIFS(BD_REVIT!$H:$H,BD_REVIT!$C:$C,$A13,BD_REVIT!$F:$F,G$4)</f>
        <v>0.22</v>
      </c>
      <c r="H13" s="13" t="n">
        <f aca="false">SUMIFS(BD_REVIT!$H:$H,BD_REVIT!$C:$C,$A13,BD_REVIT!$F:$F,H$4)</f>
        <v>0.22</v>
      </c>
      <c r="I13" s="13" t="n">
        <f aca="false">SUMIFS(BD_REVIT!$H:$H,BD_REVIT!$C:$C,$A13,BD_REVIT!$F:$F,I$4)</f>
        <v>0.22</v>
      </c>
      <c r="J13" s="13" t="n">
        <f aca="false">SUMIFS(BD_REVIT!$H:$H,BD_REVIT!$C:$C,$A13,BD_REVIT!$F:$F,J$4)</f>
        <v>0.54</v>
      </c>
      <c r="K13" s="13" t="n">
        <f aca="false">SUMIFS(BD_REVIT!$H:$H,BD_REVIT!$C:$C,$A13,BD_REVIT!$F:$F,K$4)</f>
        <v>0.22</v>
      </c>
      <c r="L13" s="13" t="n">
        <f aca="false">SUMIFS(BD_REVIT!$H:$H,BD_REVIT!$C:$C,$A13,BD_REVIT!$F:$F,L$4)</f>
        <v>0</v>
      </c>
      <c r="M13" s="13" t="n">
        <f aca="false">SUMIFS(BD_REVIT!$H:$H,BD_REVIT!$C:$C,$A13,BD_REVIT!$F:$F,M$4)</f>
        <v>0</v>
      </c>
      <c r="N13" s="13" t="n">
        <f aca="false">SUMIFS(BD_REVIT!$H:$H,BD_REVIT!$C:$C,$A13,BD_REVIT!$F:$F,N$4)</f>
        <v>0</v>
      </c>
      <c r="O13" s="13" t="n">
        <f aca="false">SUMIFS(BD_REVIT!$H:$H,BD_REVIT!$C:$C,$A13,BD_REVIT!$F:$F,O$4)</f>
        <v>0</v>
      </c>
      <c r="P13" s="13" t="n">
        <f aca="false">SUMIFS(BD_REVIT!$H:$H,BD_REVIT!$C:$C,$A13,BD_REVIT!$F:$F,P$4)</f>
        <v>0</v>
      </c>
      <c r="Q13" s="13" t="n">
        <f aca="false">SUMIFS(BD_REVIT!$H:$H,BD_REVIT!$C:$C,$A13,BD_REVIT!$F:$F,Q$4)</f>
        <v>0</v>
      </c>
      <c r="R13" s="13" t="n">
        <f aca="false">SUMIFS(BD_REVIT!$H:$H,BD_REVIT!$C:$C,$A13,BD_REVIT!$F:$F,R$4)</f>
        <v>0</v>
      </c>
      <c r="S13" s="13" t="n">
        <f aca="false">SUMIFS(BD_REVIT!$H:$H,BD_REVIT!$C:$C,$A13,BD_REVIT!$F:$F,S$4)</f>
        <v>0</v>
      </c>
      <c r="T13" s="13" t="n">
        <f aca="false">SUMIFS(BD_REVIT!$H:$H,BD_REVIT!$C:$C,$A13,BD_REVIT!$F:$F,T$4)</f>
        <v>0</v>
      </c>
      <c r="U13" s="13" t="n">
        <f aca="false">SUMIFS(BD_REVIT!$H:$H,BD_REVIT!$C:$C,$A13,BD_REVIT!$F:$F,U$4)</f>
        <v>0</v>
      </c>
      <c r="V13" s="13" t="n">
        <f aca="false">SUMIFS(BD_REVIT!$H:$H,BD_REVIT!$C:$C,$A13,BD_REVIT!$F:$F,V$4)</f>
        <v>0</v>
      </c>
      <c r="W13" s="13" t="n">
        <f aca="false">SUMIFS(BD_REVIT!$H:$H,BD_REVIT!$C:$C,$A13,BD_REVIT!$F:$F,W$4)</f>
        <v>0</v>
      </c>
      <c r="X13" s="13" t="n">
        <f aca="false">SUMIFS(BD_REVIT!$H:$H,BD_REVIT!$C:$C,$A13,BD_REVIT!$F:$F,X$4)</f>
        <v>0</v>
      </c>
      <c r="Y13" s="13" t="n">
        <f aca="false">SUMIFS(BD_REVIT!$H:$H,BD_REVIT!$C:$C,$A13,BD_REVIT!$F:$F,Y$4)</f>
        <v>0</v>
      </c>
      <c r="Z13" s="52" t="n">
        <f aca="false">SUM(D13:Y13)</f>
        <v>1.64</v>
      </c>
      <c r="AA13" s="13" t="n">
        <f aca="false">NIVEL!D397</f>
        <v>1.64</v>
      </c>
      <c r="AB13" s="13" t="n">
        <f aca="false">ROUND(Z13-AA13,2)</f>
        <v>0</v>
      </c>
    </row>
    <row r="14" customFormat="false" ht="15" hidden="false" customHeight="false" outlineLevel="0" collapsed="false">
      <c r="A14" s="10" t="s">
        <v>11</v>
      </c>
      <c r="B14" s="51" t="s">
        <v>707</v>
      </c>
      <c r="C14" s="10" t="s">
        <v>75</v>
      </c>
      <c r="D14" s="13" t="n">
        <f aca="false">SUMIFS(BD_REVIT!$H:$H,BD_REVIT!$C:$C,$A14,BD_REVIT!$F:$F,D$4)</f>
        <v>1.98</v>
      </c>
      <c r="E14" s="13" t="n">
        <f aca="false">SUMIFS(BD_REVIT!$H:$H,BD_REVIT!$C:$C,$A14,BD_REVIT!$F:$F,E$4)</f>
        <v>31.36</v>
      </c>
      <c r="F14" s="13" t="n">
        <f aca="false">SUMIFS(BD_REVIT!$H:$H,BD_REVIT!$C:$C,$A14,BD_REVIT!$F:$F,F$4)</f>
        <v>161.86</v>
      </c>
      <c r="G14" s="13" t="n">
        <f aca="false">SUMIFS(BD_REVIT!$H:$H,BD_REVIT!$C:$C,$A14,BD_REVIT!$F:$F,G$4)</f>
        <v>193.88</v>
      </c>
      <c r="H14" s="13" t="n">
        <f aca="false">SUMIFS(BD_REVIT!$H:$H,BD_REVIT!$C:$C,$A14,BD_REVIT!$F:$F,H$4)</f>
        <v>160.93</v>
      </c>
      <c r="I14" s="13" t="n">
        <f aca="false">SUMIFS(BD_REVIT!$H:$H,BD_REVIT!$C:$C,$A14,BD_REVIT!$F:$F,I$4)</f>
        <v>59.51</v>
      </c>
      <c r="J14" s="13" t="n">
        <f aca="false">SUMIFS(BD_REVIT!$H:$H,BD_REVIT!$C:$C,$A14,BD_REVIT!$F:$F,J$4)</f>
        <v>74.8</v>
      </c>
      <c r="K14" s="13" t="n">
        <f aca="false">SUMIFS(BD_REVIT!$H:$H,BD_REVIT!$C:$C,$A14,BD_REVIT!$F:$F,K$4)</f>
        <v>17.36</v>
      </c>
      <c r="L14" s="13" t="n">
        <f aca="false">SUMIFS(BD_REVIT!$H:$H,BD_REVIT!$C:$C,$A14,BD_REVIT!$F:$F,L$4)</f>
        <v>19.32</v>
      </c>
      <c r="M14" s="13" t="n">
        <f aca="false">SUMIFS(BD_REVIT!$H:$H,BD_REVIT!$C:$C,$A14,BD_REVIT!$F:$F,M$4)</f>
        <v>19.32</v>
      </c>
      <c r="N14" s="13" t="n">
        <f aca="false">SUMIFS(BD_REVIT!$H:$H,BD_REVIT!$C:$C,$A14,BD_REVIT!$F:$F,N$4)</f>
        <v>19.32</v>
      </c>
      <c r="O14" s="13" t="n">
        <f aca="false">SUMIFS(BD_REVIT!$H:$H,BD_REVIT!$C:$C,$A14,BD_REVIT!$F:$F,O$4)</f>
        <v>19.32</v>
      </c>
      <c r="P14" s="13" t="n">
        <f aca="false">SUMIFS(BD_REVIT!$H:$H,BD_REVIT!$C:$C,$A14,BD_REVIT!$F:$F,P$4)</f>
        <v>19.32</v>
      </c>
      <c r="Q14" s="13" t="n">
        <f aca="false">SUMIFS(BD_REVIT!$H:$H,BD_REVIT!$C:$C,$A14,BD_REVIT!$F:$F,Q$4)</f>
        <v>19.32</v>
      </c>
      <c r="R14" s="13" t="n">
        <f aca="false">SUMIFS(BD_REVIT!$H:$H,BD_REVIT!$C:$C,$A14,BD_REVIT!$F:$F,R$4)</f>
        <v>19.32</v>
      </c>
      <c r="S14" s="13" t="n">
        <f aca="false">SUMIFS(BD_REVIT!$H:$H,BD_REVIT!$C:$C,$A14,BD_REVIT!$F:$F,S$4)</f>
        <v>19.32</v>
      </c>
      <c r="T14" s="13" t="n">
        <f aca="false">SUMIFS(BD_REVIT!$H:$H,BD_REVIT!$C:$C,$A14,BD_REVIT!$F:$F,T$4)</f>
        <v>19.32</v>
      </c>
      <c r="U14" s="13" t="n">
        <f aca="false">SUMIFS(BD_REVIT!$H:$H,BD_REVIT!$C:$C,$A14,BD_REVIT!$F:$F,U$4)</f>
        <v>19.32</v>
      </c>
      <c r="V14" s="13" t="n">
        <f aca="false">SUMIFS(BD_REVIT!$H:$H,BD_REVIT!$C:$C,$A14,BD_REVIT!$F:$F,V$4)</f>
        <v>19.32</v>
      </c>
      <c r="W14" s="13" t="n">
        <f aca="false">SUMIFS(BD_REVIT!$H:$H,BD_REVIT!$C:$C,$A14,BD_REVIT!$F:$F,W$4)</f>
        <v>18.65</v>
      </c>
      <c r="X14" s="13" t="n">
        <f aca="false">SUMIFS(BD_REVIT!$H:$H,BD_REVIT!$C:$C,$A14,BD_REVIT!$F:$F,X$4)</f>
        <v>12.31</v>
      </c>
      <c r="Y14" s="13" t="n">
        <f aca="false">SUMIFS(BD_REVIT!$H:$H,BD_REVIT!$C:$C,$A14,BD_REVIT!$F:$F,Y$4)</f>
        <v>0</v>
      </c>
      <c r="Z14" s="52" t="n">
        <f aca="false">SUM(D14:Y14)</f>
        <v>945.16</v>
      </c>
      <c r="AA14" s="13" t="n">
        <f aca="false">NIVEL!D398</f>
        <v>945.16</v>
      </c>
      <c r="AB14" s="13" t="n">
        <f aca="false">ROUND(Z14-AA14,2)</f>
        <v>0</v>
      </c>
    </row>
    <row r="15" customFormat="false" ht="15" hidden="false" customHeight="false" outlineLevel="0" collapsed="false">
      <c r="A15" s="10" t="s">
        <v>708</v>
      </c>
      <c r="B15" s="51" t="s">
        <v>709</v>
      </c>
      <c r="C15" s="10" t="s">
        <v>75</v>
      </c>
      <c r="D15" s="13" t="n">
        <f aca="false">SUMIFS(BD_REVIT!$H:$H,BD_REVIT!$C:$C,$A15,BD_REVIT!$F:$F,D$4)</f>
        <v>3.45</v>
      </c>
      <c r="E15" s="13" t="n">
        <f aca="false">SUMIFS(BD_REVIT!$H:$H,BD_REVIT!$C:$C,$A15,BD_REVIT!$F:$F,E$4)</f>
        <v>0</v>
      </c>
      <c r="F15" s="13" t="n">
        <f aca="false">SUMIFS(BD_REVIT!$H:$H,BD_REVIT!$C:$C,$A15,BD_REVIT!$F:$F,F$4)</f>
        <v>0</v>
      </c>
      <c r="G15" s="13" t="n">
        <f aca="false">SUMIFS(BD_REVIT!$H:$H,BD_REVIT!$C:$C,$A15,BD_REVIT!$F:$F,G$4)</f>
        <v>0</v>
      </c>
      <c r="H15" s="13" t="n">
        <f aca="false">SUMIFS(BD_REVIT!$H:$H,BD_REVIT!$C:$C,$A15,BD_REVIT!$F:$F,H$4)</f>
        <v>0</v>
      </c>
      <c r="I15" s="13" t="n">
        <f aca="false">SUMIFS(BD_REVIT!$H:$H,BD_REVIT!$C:$C,$A15,BD_REVIT!$F:$F,I$4)</f>
        <v>0</v>
      </c>
      <c r="J15" s="13" t="n">
        <f aca="false">SUMIFS(BD_REVIT!$H:$H,BD_REVIT!$C:$C,$A15,BD_REVIT!$F:$F,J$4)</f>
        <v>73.55</v>
      </c>
      <c r="K15" s="13" t="n">
        <f aca="false">SUMIFS(BD_REVIT!$H:$H,BD_REVIT!$C:$C,$A15,BD_REVIT!$F:$F,K$4)</f>
        <v>58.67</v>
      </c>
      <c r="L15" s="13" t="n">
        <f aca="false">SUMIFS(BD_REVIT!$H:$H,BD_REVIT!$C:$C,$A15,BD_REVIT!$F:$F,L$4)</f>
        <v>0</v>
      </c>
      <c r="M15" s="13" t="n">
        <f aca="false">SUMIFS(BD_REVIT!$H:$H,BD_REVIT!$C:$C,$A15,BD_REVIT!$F:$F,M$4)</f>
        <v>0</v>
      </c>
      <c r="N15" s="13" t="n">
        <f aca="false">SUMIFS(BD_REVIT!$H:$H,BD_REVIT!$C:$C,$A15,BD_REVIT!$F:$F,N$4)</f>
        <v>0</v>
      </c>
      <c r="O15" s="13" t="n">
        <f aca="false">SUMIFS(BD_REVIT!$H:$H,BD_REVIT!$C:$C,$A15,BD_REVIT!$F:$F,O$4)</f>
        <v>0</v>
      </c>
      <c r="P15" s="13" t="n">
        <f aca="false">SUMIFS(BD_REVIT!$H:$H,BD_REVIT!$C:$C,$A15,BD_REVIT!$F:$F,P$4)</f>
        <v>0</v>
      </c>
      <c r="Q15" s="13" t="n">
        <f aca="false">SUMIFS(BD_REVIT!$H:$H,BD_REVIT!$C:$C,$A15,BD_REVIT!$F:$F,Q$4)</f>
        <v>0</v>
      </c>
      <c r="R15" s="13" t="n">
        <f aca="false">SUMIFS(BD_REVIT!$H:$H,BD_REVIT!$C:$C,$A15,BD_REVIT!$F:$F,R$4)</f>
        <v>0</v>
      </c>
      <c r="S15" s="13" t="n">
        <f aca="false">SUMIFS(BD_REVIT!$H:$H,BD_REVIT!$C:$C,$A15,BD_REVIT!$F:$F,S$4)</f>
        <v>0</v>
      </c>
      <c r="T15" s="13" t="n">
        <f aca="false">SUMIFS(BD_REVIT!$H:$H,BD_REVIT!$C:$C,$A15,BD_REVIT!$F:$F,T$4)</f>
        <v>0</v>
      </c>
      <c r="U15" s="13" t="n">
        <f aca="false">SUMIFS(BD_REVIT!$H:$H,BD_REVIT!$C:$C,$A15,BD_REVIT!$F:$F,U$4)</f>
        <v>0</v>
      </c>
      <c r="V15" s="13" t="n">
        <f aca="false">SUMIFS(BD_REVIT!$H:$H,BD_REVIT!$C:$C,$A15,BD_REVIT!$F:$F,V$4)</f>
        <v>0.53</v>
      </c>
      <c r="W15" s="13" t="n">
        <f aca="false">SUMIFS(BD_REVIT!$H:$H,BD_REVIT!$C:$C,$A15,BD_REVIT!$F:$F,W$4)</f>
        <v>0</v>
      </c>
      <c r="X15" s="13" t="n">
        <f aca="false">SUMIFS(BD_REVIT!$H:$H,BD_REVIT!$C:$C,$A15,BD_REVIT!$F:$F,X$4)</f>
        <v>0</v>
      </c>
      <c r="Y15" s="13" t="n">
        <f aca="false">SUMIFS(BD_REVIT!$H:$H,BD_REVIT!$C:$C,$A15,BD_REVIT!$F:$F,Y$4)</f>
        <v>0</v>
      </c>
      <c r="Z15" s="52" t="n">
        <f aca="false">SUM(D15:Y15)</f>
        <v>136.2</v>
      </c>
      <c r="AA15" s="13" t="n">
        <f aca="false">NIVEL!D399</f>
        <v>136.2</v>
      </c>
      <c r="AB15" s="13" t="n">
        <f aca="false">ROUND(Z15-AA15,2)</f>
        <v>0</v>
      </c>
    </row>
    <row r="16" customFormat="false" ht="15" hidden="false" customHeight="false" outlineLevel="0" collapsed="false">
      <c r="A16" s="10" t="s">
        <v>710</v>
      </c>
      <c r="B16" s="51" t="s">
        <v>711</v>
      </c>
      <c r="C16" s="10" t="s">
        <v>75</v>
      </c>
      <c r="D16" s="13" t="n">
        <f aca="false">SUMIFS(BD_REVIT!$H:$H,BD_REVIT!$C:$C,$A16,BD_REVIT!$F:$F,D$4)</f>
        <v>0</v>
      </c>
      <c r="E16" s="13" t="n">
        <f aca="false">SUMIFS(BD_REVIT!$H:$H,BD_REVIT!$C:$C,$A16,BD_REVIT!$F:$F,E$4)</f>
        <v>0</v>
      </c>
      <c r="F16" s="13" t="n">
        <f aca="false">SUMIFS(BD_REVIT!$H:$H,BD_REVIT!$C:$C,$A16,BD_REVIT!$F:$F,F$4)</f>
        <v>3.49</v>
      </c>
      <c r="G16" s="13" t="n">
        <f aca="false">SUMIFS(BD_REVIT!$H:$H,BD_REVIT!$C:$C,$A16,BD_REVIT!$F:$F,G$4)</f>
        <v>3.5</v>
      </c>
      <c r="H16" s="13" t="n">
        <f aca="false">SUMIFS(BD_REVIT!$H:$H,BD_REVIT!$C:$C,$A16,BD_REVIT!$F:$F,H$4)</f>
        <v>3.49</v>
      </c>
      <c r="I16" s="13" t="n">
        <f aca="false">SUMIFS(BD_REVIT!$H:$H,BD_REVIT!$C:$C,$A16,BD_REVIT!$F:$F,I$4)</f>
        <v>3.6</v>
      </c>
      <c r="J16" s="13" t="n">
        <f aca="false">SUMIFS(BD_REVIT!$H:$H,BD_REVIT!$C:$C,$A16,BD_REVIT!$F:$F,J$4)</f>
        <v>9.33</v>
      </c>
      <c r="K16" s="13" t="n">
        <f aca="false">SUMIFS(BD_REVIT!$H:$H,BD_REVIT!$C:$C,$A16,BD_REVIT!$F:$F,K$4)</f>
        <v>7.89</v>
      </c>
      <c r="L16" s="13" t="n">
        <f aca="false">SUMIFS(BD_REVIT!$H:$H,BD_REVIT!$C:$C,$A16,BD_REVIT!$F:$F,L$4)</f>
        <v>0</v>
      </c>
      <c r="M16" s="13" t="n">
        <f aca="false">SUMIFS(BD_REVIT!$H:$H,BD_REVIT!$C:$C,$A16,BD_REVIT!$F:$F,M$4)</f>
        <v>0</v>
      </c>
      <c r="N16" s="13" t="n">
        <f aca="false">SUMIFS(BD_REVIT!$H:$H,BD_REVIT!$C:$C,$A16,BD_REVIT!$F:$F,N$4)</f>
        <v>0</v>
      </c>
      <c r="O16" s="13" t="n">
        <f aca="false">SUMIFS(BD_REVIT!$H:$H,BD_REVIT!$C:$C,$A16,BD_REVIT!$F:$F,O$4)</f>
        <v>0</v>
      </c>
      <c r="P16" s="13" t="n">
        <f aca="false">SUMIFS(BD_REVIT!$H:$H,BD_REVIT!$C:$C,$A16,BD_REVIT!$F:$F,P$4)</f>
        <v>0</v>
      </c>
      <c r="Q16" s="13" t="n">
        <f aca="false">SUMIFS(BD_REVIT!$H:$H,BD_REVIT!$C:$C,$A16,BD_REVIT!$F:$F,Q$4)</f>
        <v>0</v>
      </c>
      <c r="R16" s="13" t="n">
        <f aca="false">SUMIFS(BD_REVIT!$H:$H,BD_REVIT!$C:$C,$A16,BD_REVIT!$F:$F,R$4)</f>
        <v>0</v>
      </c>
      <c r="S16" s="13" t="n">
        <f aca="false">SUMIFS(BD_REVIT!$H:$H,BD_REVIT!$C:$C,$A16,BD_REVIT!$F:$F,S$4)</f>
        <v>0</v>
      </c>
      <c r="T16" s="13" t="n">
        <f aca="false">SUMIFS(BD_REVIT!$H:$H,BD_REVIT!$C:$C,$A16,BD_REVIT!$F:$F,T$4)</f>
        <v>0</v>
      </c>
      <c r="U16" s="13" t="n">
        <f aca="false">SUMIFS(BD_REVIT!$H:$H,BD_REVIT!$C:$C,$A16,BD_REVIT!$F:$F,U$4)</f>
        <v>0</v>
      </c>
      <c r="V16" s="13" t="n">
        <f aca="false">SUMIFS(BD_REVIT!$H:$H,BD_REVIT!$C:$C,$A16,BD_REVIT!$F:$F,V$4)</f>
        <v>0</v>
      </c>
      <c r="W16" s="13" t="n">
        <f aca="false">SUMIFS(BD_REVIT!$H:$H,BD_REVIT!$C:$C,$A16,BD_REVIT!$F:$F,W$4)</f>
        <v>0</v>
      </c>
      <c r="X16" s="13" t="n">
        <f aca="false">SUMIFS(BD_REVIT!$H:$H,BD_REVIT!$C:$C,$A16,BD_REVIT!$F:$F,X$4)</f>
        <v>0</v>
      </c>
      <c r="Y16" s="13" t="n">
        <f aca="false">SUMIFS(BD_REVIT!$H:$H,BD_REVIT!$C:$C,$A16,BD_REVIT!$F:$F,Y$4)</f>
        <v>0</v>
      </c>
      <c r="Z16" s="52" t="n">
        <f aca="false">SUM(D16:Y16)</f>
        <v>31.3</v>
      </c>
      <c r="AA16" s="13" t="n">
        <f aca="false">NIVEL!D400</f>
        <v>31.3</v>
      </c>
      <c r="AB16" s="13" t="n">
        <f aca="false">ROUND(Z16-AA16,2)</f>
        <v>0</v>
      </c>
    </row>
    <row r="17" customFormat="false" ht="15" hidden="false" customHeight="false" outlineLevel="0" collapsed="false">
      <c r="A17" s="10" t="s">
        <v>712</v>
      </c>
      <c r="B17" s="51" t="s">
        <v>713</v>
      </c>
      <c r="C17" s="10" t="s">
        <v>75</v>
      </c>
      <c r="D17" s="13" t="n">
        <f aca="false">SUMIFS(BD_REVIT!$H:$H,BD_REVIT!$C:$C,$A17,BD_REVIT!$F:$F,D$4)</f>
        <v>0</v>
      </c>
      <c r="E17" s="13" t="n">
        <f aca="false">SUMIFS(BD_REVIT!$H:$H,BD_REVIT!$C:$C,$A17,BD_REVIT!$F:$F,E$4)</f>
        <v>75.45</v>
      </c>
      <c r="F17" s="13" t="n">
        <f aca="false">SUMIFS(BD_REVIT!$H:$H,BD_REVIT!$C:$C,$A17,BD_REVIT!$F:$F,F$4)</f>
        <v>168.9</v>
      </c>
      <c r="G17" s="13" t="n">
        <f aca="false">SUMIFS(BD_REVIT!$H:$H,BD_REVIT!$C:$C,$A17,BD_REVIT!$F:$F,G$4)</f>
        <v>136.59</v>
      </c>
      <c r="H17" s="13" t="n">
        <f aca="false">SUMIFS(BD_REVIT!$H:$H,BD_REVIT!$C:$C,$A17,BD_REVIT!$F:$F,H$4)</f>
        <v>100.58</v>
      </c>
      <c r="I17" s="13" t="n">
        <f aca="false">SUMIFS(BD_REVIT!$H:$H,BD_REVIT!$C:$C,$A17,BD_REVIT!$F:$F,I$4)</f>
        <v>85.95</v>
      </c>
      <c r="J17" s="13" t="n">
        <f aca="false">SUMIFS(BD_REVIT!$H:$H,BD_REVIT!$C:$C,$A17,BD_REVIT!$F:$F,J$4)</f>
        <v>189.28</v>
      </c>
      <c r="K17" s="13" t="n">
        <f aca="false">SUMIFS(BD_REVIT!$H:$H,BD_REVIT!$C:$C,$A17,BD_REVIT!$F:$F,K$4)</f>
        <v>23.05</v>
      </c>
      <c r="L17" s="13" t="n">
        <f aca="false">SUMIFS(BD_REVIT!$H:$H,BD_REVIT!$C:$C,$A17,BD_REVIT!$F:$F,L$4)</f>
        <v>0</v>
      </c>
      <c r="M17" s="13" t="n">
        <f aca="false">SUMIFS(BD_REVIT!$H:$H,BD_REVIT!$C:$C,$A17,BD_REVIT!$F:$F,M$4)</f>
        <v>0</v>
      </c>
      <c r="N17" s="13" t="n">
        <f aca="false">SUMIFS(BD_REVIT!$H:$H,BD_REVIT!$C:$C,$A17,BD_REVIT!$F:$F,N$4)</f>
        <v>0</v>
      </c>
      <c r="O17" s="13" t="n">
        <f aca="false">SUMIFS(BD_REVIT!$H:$H,BD_REVIT!$C:$C,$A17,BD_REVIT!$F:$F,O$4)</f>
        <v>0</v>
      </c>
      <c r="P17" s="13" t="n">
        <f aca="false">SUMIFS(BD_REVIT!$H:$H,BD_REVIT!$C:$C,$A17,BD_REVIT!$F:$F,P$4)</f>
        <v>0</v>
      </c>
      <c r="Q17" s="13" t="n">
        <f aca="false">SUMIFS(BD_REVIT!$H:$H,BD_REVIT!$C:$C,$A17,BD_REVIT!$F:$F,Q$4)</f>
        <v>0</v>
      </c>
      <c r="R17" s="13" t="n">
        <f aca="false">SUMIFS(BD_REVIT!$H:$H,BD_REVIT!$C:$C,$A17,BD_REVIT!$F:$F,R$4)</f>
        <v>0</v>
      </c>
      <c r="S17" s="13" t="n">
        <f aca="false">SUMIFS(BD_REVIT!$H:$H,BD_REVIT!$C:$C,$A17,BD_REVIT!$F:$F,S$4)</f>
        <v>0</v>
      </c>
      <c r="T17" s="13" t="n">
        <f aca="false">SUMIFS(BD_REVIT!$H:$H,BD_REVIT!$C:$C,$A17,BD_REVIT!$F:$F,T$4)</f>
        <v>0</v>
      </c>
      <c r="U17" s="13" t="n">
        <f aca="false">SUMIFS(BD_REVIT!$H:$H,BD_REVIT!$C:$C,$A17,BD_REVIT!$F:$F,U$4)</f>
        <v>0</v>
      </c>
      <c r="V17" s="13" t="n">
        <f aca="false">SUMIFS(BD_REVIT!$H:$H,BD_REVIT!$C:$C,$A17,BD_REVIT!$F:$F,V$4)</f>
        <v>0</v>
      </c>
      <c r="W17" s="13" t="n">
        <f aca="false">SUMIFS(BD_REVIT!$H:$H,BD_REVIT!$C:$C,$A17,BD_REVIT!$F:$F,W$4)</f>
        <v>0</v>
      </c>
      <c r="X17" s="13" t="n">
        <f aca="false">SUMIFS(BD_REVIT!$H:$H,BD_REVIT!$C:$C,$A17,BD_REVIT!$F:$F,X$4)</f>
        <v>0</v>
      </c>
      <c r="Y17" s="13" t="n">
        <f aca="false">SUMIFS(BD_REVIT!$H:$H,BD_REVIT!$C:$C,$A17,BD_REVIT!$F:$F,Y$4)</f>
        <v>0</v>
      </c>
      <c r="Z17" s="52" t="n">
        <f aca="false">SUM(D17:Y17)</f>
        <v>779.8</v>
      </c>
      <c r="AA17" s="13" t="n">
        <f aca="false">NIVEL!D401</f>
        <v>779.8</v>
      </c>
      <c r="AB17" s="13" t="n">
        <f aca="false">ROUND(Z17-AA17,2)</f>
        <v>0</v>
      </c>
    </row>
    <row r="18" customFormat="false" ht="15" hidden="false" customHeight="false" outlineLevel="0" collapsed="false">
      <c r="A18" s="10" t="s">
        <v>714</v>
      </c>
      <c r="B18" s="51" t="s">
        <v>715</v>
      </c>
      <c r="C18" s="10" t="s">
        <v>75</v>
      </c>
      <c r="D18" s="13" t="n">
        <f aca="false">SUMIFS(BD_REVIT!$H:$H,BD_REVIT!$C:$C,$A18,BD_REVIT!$F:$F,D$4)</f>
        <v>0.95</v>
      </c>
      <c r="E18" s="13" t="n">
        <f aca="false">SUMIFS(BD_REVIT!$H:$H,BD_REVIT!$C:$C,$A18,BD_REVIT!$F:$F,E$4)</f>
        <v>0</v>
      </c>
      <c r="F18" s="13" t="n">
        <f aca="false">SUMIFS(BD_REVIT!$H:$H,BD_REVIT!$C:$C,$A18,BD_REVIT!$F:$F,F$4)</f>
        <v>0</v>
      </c>
      <c r="G18" s="13" t="n">
        <f aca="false">SUMIFS(BD_REVIT!$H:$H,BD_REVIT!$C:$C,$A18,BD_REVIT!$F:$F,G$4)</f>
        <v>0</v>
      </c>
      <c r="H18" s="13" t="n">
        <f aca="false">SUMIFS(BD_REVIT!$H:$H,BD_REVIT!$C:$C,$A18,BD_REVIT!$F:$F,H$4)</f>
        <v>0</v>
      </c>
      <c r="I18" s="13" t="n">
        <f aca="false">SUMIFS(BD_REVIT!$H:$H,BD_REVIT!$C:$C,$A18,BD_REVIT!$F:$F,I$4)</f>
        <v>0</v>
      </c>
      <c r="J18" s="13" t="n">
        <f aca="false">SUMIFS(BD_REVIT!$H:$H,BD_REVIT!$C:$C,$A18,BD_REVIT!$F:$F,J$4)</f>
        <v>13.75</v>
      </c>
      <c r="K18" s="13" t="n">
        <f aca="false">SUMIFS(BD_REVIT!$H:$H,BD_REVIT!$C:$C,$A18,BD_REVIT!$F:$F,K$4)</f>
        <v>0</v>
      </c>
      <c r="L18" s="13" t="n">
        <f aca="false">SUMIFS(BD_REVIT!$H:$H,BD_REVIT!$C:$C,$A18,BD_REVIT!$F:$F,L$4)</f>
        <v>0</v>
      </c>
      <c r="M18" s="13" t="n">
        <f aca="false">SUMIFS(BD_REVIT!$H:$H,BD_REVIT!$C:$C,$A18,BD_REVIT!$F:$F,M$4)</f>
        <v>0</v>
      </c>
      <c r="N18" s="13" t="n">
        <f aca="false">SUMIFS(BD_REVIT!$H:$H,BD_REVIT!$C:$C,$A18,BD_REVIT!$F:$F,N$4)</f>
        <v>0</v>
      </c>
      <c r="O18" s="13" t="n">
        <f aca="false">SUMIFS(BD_REVIT!$H:$H,BD_REVIT!$C:$C,$A18,BD_REVIT!$F:$F,O$4)</f>
        <v>0</v>
      </c>
      <c r="P18" s="13" t="n">
        <f aca="false">SUMIFS(BD_REVIT!$H:$H,BD_REVIT!$C:$C,$A18,BD_REVIT!$F:$F,P$4)</f>
        <v>0</v>
      </c>
      <c r="Q18" s="13" t="n">
        <f aca="false">SUMIFS(BD_REVIT!$H:$H,BD_REVIT!$C:$C,$A18,BD_REVIT!$F:$F,Q$4)</f>
        <v>0</v>
      </c>
      <c r="R18" s="13" t="n">
        <f aca="false">SUMIFS(BD_REVIT!$H:$H,BD_REVIT!$C:$C,$A18,BD_REVIT!$F:$F,R$4)</f>
        <v>0</v>
      </c>
      <c r="S18" s="13" t="n">
        <f aca="false">SUMIFS(BD_REVIT!$H:$H,BD_REVIT!$C:$C,$A18,BD_REVIT!$F:$F,S$4)</f>
        <v>0</v>
      </c>
      <c r="T18" s="13" t="n">
        <f aca="false">SUMIFS(BD_REVIT!$H:$H,BD_REVIT!$C:$C,$A18,BD_REVIT!$F:$F,T$4)</f>
        <v>0</v>
      </c>
      <c r="U18" s="13" t="n">
        <f aca="false">SUMIFS(BD_REVIT!$H:$H,BD_REVIT!$C:$C,$A18,BD_REVIT!$F:$F,U$4)</f>
        <v>0</v>
      </c>
      <c r="V18" s="13" t="n">
        <f aca="false">SUMIFS(BD_REVIT!$H:$H,BD_REVIT!$C:$C,$A18,BD_REVIT!$F:$F,V$4)</f>
        <v>0</v>
      </c>
      <c r="W18" s="13" t="n">
        <f aca="false">SUMIFS(BD_REVIT!$H:$H,BD_REVIT!$C:$C,$A18,BD_REVIT!$F:$F,W$4)</f>
        <v>0</v>
      </c>
      <c r="X18" s="13" t="n">
        <f aca="false">SUMIFS(BD_REVIT!$H:$H,BD_REVIT!$C:$C,$A18,BD_REVIT!$F:$F,X$4)</f>
        <v>0</v>
      </c>
      <c r="Y18" s="13" t="n">
        <f aca="false">SUMIFS(BD_REVIT!$H:$H,BD_REVIT!$C:$C,$A18,BD_REVIT!$F:$F,Y$4)</f>
        <v>0</v>
      </c>
      <c r="Z18" s="52" t="n">
        <f aca="false">SUM(D18:Y18)</f>
        <v>14.7</v>
      </c>
      <c r="AA18" s="13" t="n">
        <f aca="false">NIVEL!D402</f>
        <v>14.7</v>
      </c>
      <c r="AB18" s="13" t="n">
        <f aca="false">ROUND(Z18-AA18,2)</f>
        <v>0</v>
      </c>
    </row>
    <row r="19" customFormat="false" ht="15" hidden="false" customHeight="false" outlineLevel="0" collapsed="false">
      <c r="A19" s="10" t="s">
        <v>716</v>
      </c>
      <c r="B19" s="51" t="s">
        <v>717</v>
      </c>
      <c r="C19" s="10" t="s">
        <v>75</v>
      </c>
      <c r="D19" s="13" t="n">
        <f aca="false">SUMIFS(BD_REVIT!$H:$H,BD_REVIT!$C:$C,$A19,BD_REVIT!$F:$F,D$4)</f>
        <v>73.21</v>
      </c>
      <c r="E19" s="13" t="n">
        <f aca="false">SUMIFS(BD_REVIT!$H:$H,BD_REVIT!$C:$C,$A19,BD_REVIT!$F:$F,E$4)</f>
        <v>0.43</v>
      </c>
      <c r="F19" s="13" t="n">
        <f aca="false">SUMIFS(BD_REVIT!$H:$H,BD_REVIT!$C:$C,$A19,BD_REVIT!$F:$F,F$4)</f>
        <v>2.63</v>
      </c>
      <c r="G19" s="13" t="n">
        <f aca="false">SUMIFS(BD_REVIT!$H:$H,BD_REVIT!$C:$C,$A19,BD_REVIT!$F:$F,G$4)</f>
        <v>6.07</v>
      </c>
      <c r="H19" s="13" t="n">
        <f aca="false">SUMIFS(BD_REVIT!$H:$H,BD_REVIT!$C:$C,$A19,BD_REVIT!$F:$F,H$4)</f>
        <v>2.9</v>
      </c>
      <c r="I19" s="13" t="n">
        <f aca="false">SUMIFS(BD_REVIT!$H:$H,BD_REVIT!$C:$C,$A19,BD_REVIT!$F:$F,I$4)</f>
        <v>19.65</v>
      </c>
      <c r="J19" s="13" t="n">
        <f aca="false">SUMIFS(BD_REVIT!$H:$H,BD_REVIT!$C:$C,$A19,BD_REVIT!$F:$F,J$4)</f>
        <v>6.17</v>
      </c>
      <c r="K19" s="13" t="n">
        <f aca="false">SUMIFS(BD_REVIT!$H:$H,BD_REVIT!$C:$C,$A19,BD_REVIT!$F:$F,K$4)</f>
        <v>6.4</v>
      </c>
      <c r="L19" s="13" t="n">
        <f aca="false">SUMIFS(BD_REVIT!$H:$H,BD_REVIT!$C:$C,$A19,BD_REVIT!$F:$F,L$4)</f>
        <v>6.4</v>
      </c>
      <c r="M19" s="13" t="n">
        <f aca="false">SUMIFS(BD_REVIT!$H:$H,BD_REVIT!$C:$C,$A19,BD_REVIT!$F:$F,M$4)</f>
        <v>6.4</v>
      </c>
      <c r="N19" s="13" t="n">
        <f aca="false">SUMIFS(BD_REVIT!$H:$H,BD_REVIT!$C:$C,$A19,BD_REVIT!$F:$F,N$4)</f>
        <v>6.4</v>
      </c>
      <c r="O19" s="13" t="n">
        <f aca="false">SUMIFS(BD_REVIT!$H:$H,BD_REVIT!$C:$C,$A19,BD_REVIT!$F:$F,O$4)</f>
        <v>6.4</v>
      </c>
      <c r="P19" s="13" t="n">
        <f aca="false">SUMIFS(BD_REVIT!$H:$H,BD_REVIT!$C:$C,$A19,BD_REVIT!$F:$F,P$4)</f>
        <v>6.4</v>
      </c>
      <c r="Q19" s="13" t="n">
        <f aca="false">SUMIFS(BD_REVIT!$H:$H,BD_REVIT!$C:$C,$A19,BD_REVIT!$F:$F,Q$4)</f>
        <v>6.4</v>
      </c>
      <c r="R19" s="13" t="n">
        <f aca="false">SUMIFS(BD_REVIT!$H:$H,BD_REVIT!$C:$C,$A19,BD_REVIT!$F:$F,R$4)</f>
        <v>6.55</v>
      </c>
      <c r="S19" s="13" t="n">
        <f aca="false">SUMIFS(BD_REVIT!$H:$H,BD_REVIT!$C:$C,$A19,BD_REVIT!$F:$F,S$4)</f>
        <v>10.65</v>
      </c>
      <c r="T19" s="13" t="n">
        <f aca="false">SUMIFS(BD_REVIT!$H:$H,BD_REVIT!$C:$C,$A19,BD_REVIT!$F:$F,T$4)</f>
        <v>6.4</v>
      </c>
      <c r="U19" s="13" t="n">
        <f aca="false">SUMIFS(BD_REVIT!$H:$H,BD_REVIT!$C:$C,$A19,BD_REVIT!$F:$F,U$4)</f>
        <v>6.4</v>
      </c>
      <c r="V19" s="13" t="n">
        <f aca="false">SUMIFS(BD_REVIT!$H:$H,BD_REVIT!$C:$C,$A19,BD_REVIT!$F:$F,V$4)</f>
        <v>7.28</v>
      </c>
      <c r="W19" s="13" t="n">
        <f aca="false">SUMIFS(BD_REVIT!$H:$H,BD_REVIT!$C:$C,$A19,BD_REVIT!$F:$F,W$4)</f>
        <v>6.4</v>
      </c>
      <c r="X19" s="13" t="n">
        <f aca="false">SUMIFS(BD_REVIT!$H:$H,BD_REVIT!$C:$C,$A19,BD_REVIT!$F:$F,X$4)</f>
        <v>0</v>
      </c>
      <c r="Y19" s="13" t="n">
        <f aca="false">SUMIFS(BD_REVIT!$H:$H,BD_REVIT!$C:$C,$A19,BD_REVIT!$F:$F,Y$4)</f>
        <v>0</v>
      </c>
      <c r="Z19" s="52" t="n">
        <f aca="false">SUM(D19:Y19)</f>
        <v>199.54</v>
      </c>
      <c r="AA19" s="13" t="n">
        <f aca="false">NIVEL!D403</f>
        <v>199.54</v>
      </c>
      <c r="AB19" s="13" t="n">
        <f aca="false">ROUND(Z19-AA19,2)</f>
        <v>0</v>
      </c>
    </row>
    <row r="20" customFormat="false" ht="15" hidden="false" customHeight="false" outlineLevel="0" collapsed="false">
      <c r="A20" s="10" t="s">
        <v>718</v>
      </c>
      <c r="B20" s="51" t="s">
        <v>384</v>
      </c>
      <c r="C20" s="10" t="s">
        <v>61</v>
      </c>
      <c r="D20" s="13" t="n">
        <f aca="false">SUMIFS(BD_REVIT!$H:$H,BD_REVIT!$C:$C,$A20,BD_REVIT!$F:$F,D$4)</f>
        <v>0</v>
      </c>
      <c r="E20" s="13" t="n">
        <f aca="false">SUMIFS(BD_REVIT!$H:$H,BD_REVIT!$C:$C,$A20,BD_REVIT!$F:$F,E$4)</f>
        <v>0</v>
      </c>
      <c r="F20" s="13" t="n">
        <f aca="false">SUMIFS(BD_REVIT!$H:$H,BD_REVIT!$C:$C,$A20,BD_REVIT!$F:$F,F$4)</f>
        <v>0</v>
      </c>
      <c r="G20" s="13" t="n">
        <f aca="false">SUMIFS(BD_REVIT!$H:$H,BD_REVIT!$C:$C,$A20,BD_REVIT!$F:$F,G$4)</f>
        <v>0</v>
      </c>
      <c r="H20" s="13" t="n">
        <f aca="false">SUMIFS(BD_REVIT!$H:$H,BD_REVIT!$C:$C,$A20,BD_REVIT!$F:$F,H$4)</f>
        <v>0</v>
      </c>
      <c r="I20" s="13" t="n">
        <f aca="false">SUMIFS(BD_REVIT!$H:$H,BD_REVIT!$C:$C,$A20,BD_REVIT!$F:$F,I$4)</f>
        <v>0</v>
      </c>
      <c r="J20" s="13" t="n">
        <f aca="false">SUMIFS(BD_REVIT!$H:$H,BD_REVIT!$C:$C,$A20,BD_REVIT!$F:$F,J$4)</f>
        <v>0</v>
      </c>
      <c r="K20" s="13" t="n">
        <f aca="false">SUMIFS(BD_REVIT!$H:$H,BD_REVIT!$C:$C,$A20,BD_REVIT!$F:$F,K$4)</f>
        <v>0</v>
      </c>
      <c r="L20" s="13" t="n">
        <f aca="false">SUMIFS(BD_REVIT!$H:$H,BD_REVIT!$C:$C,$A20,BD_REVIT!$F:$F,L$4)</f>
        <v>0</v>
      </c>
      <c r="M20" s="13" t="n">
        <f aca="false">SUMIFS(BD_REVIT!$H:$H,BD_REVIT!$C:$C,$A20,BD_REVIT!$F:$F,M$4)</f>
        <v>0</v>
      </c>
      <c r="N20" s="13" t="n">
        <f aca="false">SUMIFS(BD_REVIT!$H:$H,BD_REVIT!$C:$C,$A20,BD_REVIT!$F:$F,N$4)</f>
        <v>0</v>
      </c>
      <c r="O20" s="13" t="n">
        <f aca="false">SUMIFS(BD_REVIT!$H:$H,BD_REVIT!$C:$C,$A20,BD_REVIT!$F:$F,O$4)</f>
        <v>0</v>
      </c>
      <c r="P20" s="13" t="n">
        <f aca="false">SUMIFS(BD_REVIT!$H:$H,BD_REVIT!$C:$C,$A20,BD_REVIT!$F:$F,P$4)</f>
        <v>0</v>
      </c>
      <c r="Q20" s="13" t="n">
        <f aca="false">SUMIFS(BD_REVIT!$H:$H,BD_REVIT!$C:$C,$A20,BD_REVIT!$F:$F,Q$4)</f>
        <v>0</v>
      </c>
      <c r="R20" s="13" t="n">
        <f aca="false">SUMIFS(BD_REVIT!$H:$H,BD_REVIT!$C:$C,$A20,BD_REVIT!$F:$F,R$4)</f>
        <v>0</v>
      </c>
      <c r="S20" s="13" t="n">
        <f aca="false">SUMIFS(BD_REVIT!$H:$H,BD_REVIT!$C:$C,$A20,BD_REVIT!$F:$F,S$4)</f>
        <v>0</v>
      </c>
      <c r="T20" s="13" t="n">
        <f aca="false">SUMIFS(BD_REVIT!$H:$H,BD_REVIT!$C:$C,$A20,BD_REVIT!$F:$F,T$4)</f>
        <v>0</v>
      </c>
      <c r="U20" s="13" t="n">
        <f aca="false">SUMIFS(BD_REVIT!$H:$H,BD_REVIT!$C:$C,$A20,BD_REVIT!$F:$F,U$4)</f>
        <v>0</v>
      </c>
      <c r="V20" s="13" t="n">
        <f aca="false">SUMIFS(BD_REVIT!$H:$H,BD_REVIT!$C:$C,$A20,BD_REVIT!$F:$F,V$4)</f>
        <v>0</v>
      </c>
      <c r="W20" s="13" t="n">
        <f aca="false">SUMIFS(BD_REVIT!$H:$H,BD_REVIT!$C:$C,$A20,BD_REVIT!$F:$F,W$4)</f>
        <v>0</v>
      </c>
      <c r="X20" s="13" t="n">
        <f aca="false">SUMIFS(BD_REVIT!$H:$H,BD_REVIT!$C:$C,$A20,BD_REVIT!$F:$F,X$4)</f>
        <v>0</v>
      </c>
      <c r="Y20" s="13" t="n">
        <f aca="false">SUMIFS(BD_REVIT!$H:$H,BD_REVIT!$C:$C,$A20,BD_REVIT!$F:$F,Y$4)</f>
        <v>0</v>
      </c>
      <c r="Z20" s="52" t="n">
        <f aca="false">SUM(D20:Y20)</f>
        <v>0</v>
      </c>
      <c r="AA20" s="13" t="n">
        <f aca="false">NIVEL!D404</f>
        <v>0</v>
      </c>
      <c r="AB20" s="13" t="n">
        <f aca="false">ROUND(Z20-AA20,2)</f>
        <v>0</v>
      </c>
    </row>
    <row r="21" customFormat="false" ht="15" hidden="false" customHeight="false" outlineLevel="0" collapsed="false">
      <c r="A21" s="10" t="s">
        <v>719</v>
      </c>
      <c r="B21" s="51" t="s">
        <v>385</v>
      </c>
      <c r="C21" s="10" t="s">
        <v>61</v>
      </c>
      <c r="D21" s="13" t="n">
        <f aca="false">SUMIFS(BD_REVIT!$H:$H,BD_REVIT!$C:$C,$A21,BD_REVIT!$F:$F,D$4)</f>
        <v>0</v>
      </c>
      <c r="E21" s="13" t="n">
        <f aca="false">SUMIFS(BD_REVIT!$H:$H,BD_REVIT!$C:$C,$A21,BD_REVIT!$F:$F,E$4)</f>
        <v>0</v>
      </c>
      <c r="F21" s="13" t="n">
        <f aca="false">SUMIFS(BD_REVIT!$H:$H,BD_REVIT!$C:$C,$A21,BD_REVIT!$F:$F,F$4)</f>
        <v>89</v>
      </c>
      <c r="G21" s="13" t="n">
        <f aca="false">SUMIFS(BD_REVIT!$H:$H,BD_REVIT!$C:$C,$A21,BD_REVIT!$F:$F,G$4)</f>
        <v>127</v>
      </c>
      <c r="H21" s="13" t="n">
        <f aca="false">SUMIFS(BD_REVIT!$H:$H,BD_REVIT!$C:$C,$A21,BD_REVIT!$F:$F,H$4)</f>
        <v>120</v>
      </c>
      <c r="I21" s="13" t="n">
        <f aca="false">SUMIFS(BD_REVIT!$H:$H,BD_REVIT!$C:$C,$A21,BD_REVIT!$F:$F,I$4)</f>
        <v>90</v>
      </c>
      <c r="J21" s="13" t="n">
        <f aca="false">SUMIFS(BD_REVIT!$H:$H,BD_REVIT!$C:$C,$A21,BD_REVIT!$F:$F,J$4)</f>
        <v>0</v>
      </c>
      <c r="K21" s="13" t="n">
        <f aca="false">SUMIFS(BD_REVIT!$H:$H,BD_REVIT!$C:$C,$A21,BD_REVIT!$F:$F,K$4)</f>
        <v>6</v>
      </c>
      <c r="L21" s="13" t="n">
        <f aca="false">SUMIFS(BD_REVIT!$H:$H,BD_REVIT!$C:$C,$A21,BD_REVIT!$F:$F,L$4)</f>
        <v>13</v>
      </c>
      <c r="M21" s="13" t="n">
        <f aca="false">SUMIFS(BD_REVIT!$H:$H,BD_REVIT!$C:$C,$A21,BD_REVIT!$F:$F,M$4)</f>
        <v>13</v>
      </c>
      <c r="N21" s="13" t="n">
        <f aca="false">SUMIFS(BD_REVIT!$H:$H,BD_REVIT!$C:$C,$A21,BD_REVIT!$F:$F,N$4)</f>
        <v>13</v>
      </c>
      <c r="O21" s="13" t="n">
        <f aca="false">SUMIFS(BD_REVIT!$H:$H,BD_REVIT!$C:$C,$A21,BD_REVIT!$F:$F,O$4)</f>
        <v>13</v>
      </c>
      <c r="P21" s="13" t="n">
        <f aca="false">SUMIFS(BD_REVIT!$H:$H,BD_REVIT!$C:$C,$A21,BD_REVIT!$F:$F,P$4)</f>
        <v>13</v>
      </c>
      <c r="Q21" s="13" t="n">
        <f aca="false">SUMIFS(BD_REVIT!$H:$H,BD_REVIT!$C:$C,$A21,BD_REVIT!$F:$F,Q$4)</f>
        <v>13</v>
      </c>
      <c r="R21" s="13" t="n">
        <f aca="false">SUMIFS(BD_REVIT!$H:$H,BD_REVIT!$C:$C,$A21,BD_REVIT!$F:$F,R$4)</f>
        <v>13</v>
      </c>
      <c r="S21" s="13" t="n">
        <f aca="false">SUMIFS(BD_REVIT!$H:$H,BD_REVIT!$C:$C,$A21,BD_REVIT!$F:$F,S$4)</f>
        <v>13</v>
      </c>
      <c r="T21" s="13" t="n">
        <f aca="false">SUMIFS(BD_REVIT!$H:$H,BD_REVIT!$C:$C,$A21,BD_REVIT!$F:$F,T$4)</f>
        <v>13</v>
      </c>
      <c r="U21" s="13" t="n">
        <f aca="false">SUMIFS(BD_REVIT!$H:$H,BD_REVIT!$C:$C,$A21,BD_REVIT!$F:$F,U$4)</f>
        <v>13</v>
      </c>
      <c r="V21" s="13" t="n">
        <f aca="false">SUMIFS(BD_REVIT!$H:$H,BD_REVIT!$C:$C,$A21,BD_REVIT!$F:$F,V$4)</f>
        <v>13</v>
      </c>
      <c r="W21" s="13" t="n">
        <f aca="false">SUMIFS(BD_REVIT!$H:$H,BD_REVIT!$C:$C,$A21,BD_REVIT!$F:$F,W$4)</f>
        <v>13</v>
      </c>
      <c r="X21" s="13" t="n">
        <f aca="false">SUMIFS(BD_REVIT!$H:$H,BD_REVIT!$C:$C,$A21,BD_REVIT!$F:$F,X$4)</f>
        <v>13</v>
      </c>
      <c r="Y21" s="13" t="n">
        <f aca="false">SUMIFS(BD_REVIT!$H:$H,BD_REVIT!$C:$C,$A21,BD_REVIT!$F:$F,Y$4)</f>
        <v>0</v>
      </c>
      <c r="Z21" s="52" t="n">
        <f aca="false">SUM(D21:Y21)</f>
        <v>601</v>
      </c>
      <c r="AA21" s="13" t="n">
        <f aca="false">NIVEL!D405</f>
        <v>601</v>
      </c>
      <c r="AB21" s="13" t="n">
        <f aca="false">ROUND(Z21-AA21,2)</f>
        <v>0</v>
      </c>
    </row>
    <row r="22" customFormat="false" ht="15" hidden="false" customHeight="false" outlineLevel="0" collapsed="false">
      <c r="A22" s="10" t="s">
        <v>720</v>
      </c>
      <c r="B22" s="51" t="s">
        <v>81</v>
      </c>
      <c r="C22" s="10" t="s">
        <v>61</v>
      </c>
      <c r="D22" s="13" t="n">
        <f aca="false">SUMIFS(BD_REVIT!$H:$H,BD_REVIT!$C:$C,$A22,BD_REVIT!$F:$F,D$4)</f>
        <v>0</v>
      </c>
      <c r="E22" s="13" t="n">
        <f aca="false">SUMIFS(BD_REVIT!$H:$H,BD_REVIT!$C:$C,$A22,BD_REVIT!$F:$F,E$4)</f>
        <v>0</v>
      </c>
      <c r="F22" s="13" t="n">
        <f aca="false">SUMIFS(BD_REVIT!$H:$H,BD_REVIT!$C:$C,$A22,BD_REVIT!$F:$F,F$4)</f>
        <v>0</v>
      </c>
      <c r="G22" s="13" t="n">
        <f aca="false">SUMIFS(BD_REVIT!$H:$H,BD_REVIT!$C:$C,$A22,BD_REVIT!$F:$F,G$4)</f>
        <v>0</v>
      </c>
      <c r="H22" s="13" t="n">
        <f aca="false">SUMIFS(BD_REVIT!$H:$H,BD_REVIT!$C:$C,$A22,BD_REVIT!$F:$F,H$4)</f>
        <v>0</v>
      </c>
      <c r="I22" s="13" t="n">
        <f aca="false">SUMIFS(BD_REVIT!$H:$H,BD_REVIT!$C:$C,$A22,BD_REVIT!$F:$F,I$4)</f>
        <v>0</v>
      </c>
      <c r="J22" s="13" t="n">
        <f aca="false">SUMIFS(BD_REVIT!$H:$H,BD_REVIT!$C:$C,$A22,BD_REVIT!$F:$F,J$4)</f>
        <v>53</v>
      </c>
      <c r="K22" s="13" t="n">
        <f aca="false">SUMIFS(BD_REVIT!$H:$H,BD_REVIT!$C:$C,$A22,BD_REVIT!$F:$F,K$4)</f>
        <v>27</v>
      </c>
      <c r="L22" s="13" t="n">
        <f aca="false">SUMIFS(BD_REVIT!$H:$H,BD_REVIT!$C:$C,$A22,BD_REVIT!$F:$F,L$4)</f>
        <v>0</v>
      </c>
      <c r="M22" s="13" t="n">
        <f aca="false">SUMIFS(BD_REVIT!$H:$H,BD_REVIT!$C:$C,$A22,BD_REVIT!$F:$F,M$4)</f>
        <v>0</v>
      </c>
      <c r="N22" s="13" t="n">
        <f aca="false">SUMIFS(BD_REVIT!$H:$H,BD_REVIT!$C:$C,$A22,BD_REVIT!$F:$F,N$4)</f>
        <v>0</v>
      </c>
      <c r="O22" s="13" t="n">
        <f aca="false">SUMIFS(BD_REVIT!$H:$H,BD_REVIT!$C:$C,$A22,BD_REVIT!$F:$F,O$4)</f>
        <v>0</v>
      </c>
      <c r="P22" s="13" t="n">
        <f aca="false">SUMIFS(BD_REVIT!$H:$H,BD_REVIT!$C:$C,$A22,BD_REVIT!$F:$F,P$4)</f>
        <v>0</v>
      </c>
      <c r="Q22" s="13" t="n">
        <f aca="false">SUMIFS(BD_REVIT!$H:$H,BD_REVIT!$C:$C,$A22,BD_REVIT!$F:$F,Q$4)</f>
        <v>0</v>
      </c>
      <c r="R22" s="13" t="n">
        <f aca="false">SUMIFS(BD_REVIT!$H:$H,BD_REVIT!$C:$C,$A22,BD_REVIT!$F:$F,R$4)</f>
        <v>0</v>
      </c>
      <c r="S22" s="13" t="n">
        <f aca="false">SUMIFS(BD_REVIT!$H:$H,BD_REVIT!$C:$C,$A22,BD_REVIT!$F:$F,S$4)</f>
        <v>0</v>
      </c>
      <c r="T22" s="13" t="n">
        <f aca="false">SUMIFS(BD_REVIT!$H:$H,BD_REVIT!$C:$C,$A22,BD_REVIT!$F:$F,T$4)</f>
        <v>0</v>
      </c>
      <c r="U22" s="13" t="n">
        <f aca="false">SUMIFS(BD_REVIT!$H:$H,BD_REVIT!$C:$C,$A22,BD_REVIT!$F:$F,U$4)</f>
        <v>0</v>
      </c>
      <c r="V22" s="13" t="n">
        <f aca="false">SUMIFS(BD_REVIT!$H:$H,BD_REVIT!$C:$C,$A22,BD_REVIT!$F:$F,V$4)</f>
        <v>0</v>
      </c>
      <c r="W22" s="13" t="n">
        <f aca="false">SUMIFS(BD_REVIT!$H:$H,BD_REVIT!$C:$C,$A22,BD_REVIT!$F:$F,W$4)</f>
        <v>0</v>
      </c>
      <c r="X22" s="13" t="n">
        <f aca="false">SUMIFS(BD_REVIT!$H:$H,BD_REVIT!$C:$C,$A22,BD_REVIT!$F:$F,X$4)</f>
        <v>0</v>
      </c>
      <c r="Y22" s="13" t="n">
        <f aca="false">SUMIFS(BD_REVIT!$H:$H,BD_REVIT!$C:$C,$A22,BD_REVIT!$F:$F,Y$4)</f>
        <v>0</v>
      </c>
      <c r="Z22" s="52" t="n">
        <f aca="false">SUM(D22:Y22)</f>
        <v>80</v>
      </c>
      <c r="AA22" s="13" t="n">
        <f aca="false">NIVEL!D406</f>
        <v>80</v>
      </c>
      <c r="AB22" s="13" t="n">
        <f aca="false">ROUND(Z22-AA22,2)</f>
        <v>0</v>
      </c>
    </row>
    <row r="23" customFormat="false" ht="15" hidden="false" customHeight="false" outlineLevel="0" collapsed="false">
      <c r="A23" s="10" t="s">
        <v>721</v>
      </c>
      <c r="B23" s="51" t="s">
        <v>722</v>
      </c>
      <c r="C23" s="10" t="s">
        <v>61</v>
      </c>
      <c r="D23" s="13" t="n">
        <f aca="false">SUMIFS(BD_REVIT!$H:$H,BD_REVIT!$C:$C,$A23,BD_REVIT!$F:$F,D$4)</f>
        <v>0</v>
      </c>
      <c r="E23" s="13" t="n">
        <f aca="false">SUMIFS(BD_REVIT!$H:$H,BD_REVIT!$C:$C,$A23,BD_REVIT!$F:$F,E$4)</f>
        <v>0</v>
      </c>
      <c r="F23" s="13" t="n">
        <f aca="false">SUMIFS(BD_REVIT!$H:$H,BD_REVIT!$C:$C,$A23,BD_REVIT!$F:$F,F$4)</f>
        <v>0</v>
      </c>
      <c r="G23" s="13" t="n">
        <f aca="false">SUMIFS(BD_REVIT!$H:$H,BD_REVIT!$C:$C,$A23,BD_REVIT!$F:$F,G$4)</f>
        <v>0</v>
      </c>
      <c r="H23" s="13" t="n">
        <f aca="false">SUMIFS(BD_REVIT!$H:$H,BD_REVIT!$C:$C,$A23,BD_REVIT!$F:$F,H$4)</f>
        <v>0</v>
      </c>
      <c r="I23" s="13" t="n">
        <f aca="false">SUMIFS(BD_REVIT!$H:$H,BD_REVIT!$C:$C,$A23,BD_REVIT!$F:$F,I$4)</f>
        <v>0</v>
      </c>
      <c r="J23" s="13" t="n">
        <f aca="false">SUMIFS(BD_REVIT!$H:$H,BD_REVIT!$C:$C,$A23,BD_REVIT!$F:$F,J$4)</f>
        <v>2</v>
      </c>
      <c r="K23" s="13" t="n">
        <f aca="false">SUMIFS(BD_REVIT!$H:$H,BD_REVIT!$C:$C,$A23,BD_REVIT!$F:$F,K$4)</f>
        <v>0</v>
      </c>
      <c r="L23" s="13" t="n">
        <f aca="false">SUMIFS(BD_REVIT!$H:$H,BD_REVIT!$C:$C,$A23,BD_REVIT!$F:$F,L$4)</f>
        <v>0</v>
      </c>
      <c r="M23" s="13" t="n">
        <f aca="false">SUMIFS(BD_REVIT!$H:$H,BD_REVIT!$C:$C,$A23,BD_REVIT!$F:$F,M$4)</f>
        <v>0</v>
      </c>
      <c r="N23" s="13" t="n">
        <f aca="false">SUMIFS(BD_REVIT!$H:$H,BD_REVIT!$C:$C,$A23,BD_REVIT!$F:$F,N$4)</f>
        <v>0</v>
      </c>
      <c r="O23" s="13" t="n">
        <f aca="false">SUMIFS(BD_REVIT!$H:$H,BD_REVIT!$C:$C,$A23,BD_REVIT!$F:$F,O$4)</f>
        <v>0</v>
      </c>
      <c r="P23" s="13" t="n">
        <f aca="false">SUMIFS(BD_REVIT!$H:$H,BD_REVIT!$C:$C,$A23,BD_REVIT!$F:$F,P$4)</f>
        <v>0</v>
      </c>
      <c r="Q23" s="13" t="n">
        <f aca="false">SUMIFS(BD_REVIT!$H:$H,BD_REVIT!$C:$C,$A23,BD_REVIT!$F:$F,Q$4)</f>
        <v>0</v>
      </c>
      <c r="R23" s="13" t="n">
        <f aca="false">SUMIFS(BD_REVIT!$H:$H,BD_REVIT!$C:$C,$A23,BD_REVIT!$F:$F,R$4)</f>
        <v>0</v>
      </c>
      <c r="S23" s="13" t="n">
        <f aca="false">SUMIFS(BD_REVIT!$H:$H,BD_REVIT!$C:$C,$A23,BD_REVIT!$F:$F,S$4)</f>
        <v>0</v>
      </c>
      <c r="T23" s="13" t="n">
        <f aca="false">SUMIFS(BD_REVIT!$H:$H,BD_REVIT!$C:$C,$A23,BD_REVIT!$F:$F,T$4)</f>
        <v>0</v>
      </c>
      <c r="U23" s="13" t="n">
        <f aca="false">SUMIFS(BD_REVIT!$H:$H,BD_REVIT!$C:$C,$A23,BD_REVIT!$F:$F,U$4)</f>
        <v>0</v>
      </c>
      <c r="V23" s="13" t="n">
        <f aca="false">SUMIFS(BD_REVIT!$H:$H,BD_REVIT!$C:$C,$A23,BD_REVIT!$F:$F,V$4)</f>
        <v>0</v>
      </c>
      <c r="W23" s="13" t="n">
        <f aca="false">SUMIFS(BD_REVIT!$H:$H,BD_REVIT!$C:$C,$A23,BD_REVIT!$F:$F,W$4)</f>
        <v>0</v>
      </c>
      <c r="X23" s="13" t="n">
        <f aca="false">SUMIFS(BD_REVIT!$H:$H,BD_REVIT!$C:$C,$A23,BD_REVIT!$F:$F,X$4)</f>
        <v>0</v>
      </c>
      <c r="Y23" s="13" t="n">
        <f aca="false">SUMIFS(BD_REVIT!$H:$H,BD_REVIT!$C:$C,$A23,BD_REVIT!$F:$F,Y$4)</f>
        <v>0</v>
      </c>
      <c r="Z23" s="52" t="n">
        <f aca="false">SUM(D23:Y23)</f>
        <v>2</v>
      </c>
      <c r="AA23" s="13" t="n">
        <f aca="false">NIVEL!D407</f>
        <v>2</v>
      </c>
      <c r="AB23" s="13" t="n">
        <f aca="false">ROUND(Z23-AA23,2)</f>
        <v>0</v>
      </c>
    </row>
    <row r="24" customFormat="false" ht="15" hidden="false" customHeight="false" outlineLevel="0" collapsed="false">
      <c r="A24" s="10" t="s">
        <v>723</v>
      </c>
      <c r="B24" s="51" t="s">
        <v>83</v>
      </c>
      <c r="C24" s="10" t="s">
        <v>61</v>
      </c>
      <c r="D24" s="13" t="n">
        <f aca="false">SUMIFS(BD_REVIT!$H:$H,BD_REVIT!$C:$C,$A24,BD_REVIT!$F:$F,D$4)</f>
        <v>0</v>
      </c>
      <c r="E24" s="13" t="n">
        <f aca="false">SUMIFS(BD_REVIT!$H:$H,BD_REVIT!$C:$C,$A24,BD_REVIT!$F:$F,E$4)</f>
        <v>0</v>
      </c>
      <c r="F24" s="13" t="n">
        <f aca="false">SUMIFS(BD_REVIT!$H:$H,BD_REVIT!$C:$C,$A24,BD_REVIT!$F:$F,F$4)</f>
        <v>0</v>
      </c>
      <c r="G24" s="13" t="n">
        <f aca="false">SUMIFS(BD_REVIT!$H:$H,BD_REVIT!$C:$C,$A24,BD_REVIT!$F:$F,G$4)</f>
        <v>0</v>
      </c>
      <c r="H24" s="13" t="n">
        <f aca="false">SUMIFS(BD_REVIT!$H:$H,BD_REVIT!$C:$C,$A24,BD_REVIT!$F:$F,H$4)</f>
        <v>0</v>
      </c>
      <c r="I24" s="13" t="n">
        <f aca="false">SUMIFS(BD_REVIT!$H:$H,BD_REVIT!$C:$C,$A24,BD_REVIT!$F:$F,I$4)</f>
        <v>0</v>
      </c>
      <c r="J24" s="13" t="n">
        <f aca="false">SUMIFS(BD_REVIT!$H:$H,BD_REVIT!$C:$C,$A24,BD_REVIT!$F:$F,J$4)</f>
        <v>0</v>
      </c>
      <c r="K24" s="13" t="n">
        <f aca="false">SUMIFS(BD_REVIT!$H:$H,BD_REVIT!$C:$C,$A24,BD_REVIT!$F:$F,K$4)</f>
        <v>0</v>
      </c>
      <c r="L24" s="13" t="n">
        <f aca="false">SUMIFS(BD_REVIT!$H:$H,BD_REVIT!$C:$C,$A24,BD_REVIT!$F:$F,L$4)</f>
        <v>0</v>
      </c>
      <c r="M24" s="13" t="n">
        <f aca="false">SUMIFS(BD_REVIT!$H:$H,BD_REVIT!$C:$C,$A24,BD_REVIT!$F:$F,M$4)</f>
        <v>0</v>
      </c>
      <c r="N24" s="13" t="n">
        <f aca="false">SUMIFS(BD_REVIT!$H:$H,BD_REVIT!$C:$C,$A24,BD_REVIT!$F:$F,N$4)</f>
        <v>0</v>
      </c>
      <c r="O24" s="13" t="n">
        <f aca="false">SUMIFS(BD_REVIT!$H:$H,BD_REVIT!$C:$C,$A24,BD_REVIT!$F:$F,O$4)</f>
        <v>0</v>
      </c>
      <c r="P24" s="13" t="n">
        <f aca="false">SUMIFS(BD_REVIT!$H:$H,BD_REVIT!$C:$C,$A24,BD_REVIT!$F:$F,P$4)</f>
        <v>0</v>
      </c>
      <c r="Q24" s="13" t="n">
        <f aca="false">SUMIFS(BD_REVIT!$H:$H,BD_REVIT!$C:$C,$A24,BD_REVIT!$F:$F,Q$4)</f>
        <v>0</v>
      </c>
      <c r="R24" s="13" t="n">
        <f aca="false">SUMIFS(BD_REVIT!$H:$H,BD_REVIT!$C:$C,$A24,BD_REVIT!$F:$F,R$4)</f>
        <v>0</v>
      </c>
      <c r="S24" s="13" t="n">
        <f aca="false">SUMIFS(BD_REVIT!$H:$H,BD_REVIT!$C:$C,$A24,BD_REVIT!$F:$F,S$4)</f>
        <v>0</v>
      </c>
      <c r="T24" s="13" t="n">
        <f aca="false">SUMIFS(BD_REVIT!$H:$H,BD_REVIT!$C:$C,$A24,BD_REVIT!$F:$F,T$4)</f>
        <v>0</v>
      </c>
      <c r="U24" s="13" t="n">
        <f aca="false">SUMIFS(BD_REVIT!$H:$H,BD_REVIT!$C:$C,$A24,BD_REVIT!$F:$F,U$4)</f>
        <v>0</v>
      </c>
      <c r="V24" s="13" t="n">
        <f aca="false">SUMIFS(BD_REVIT!$H:$H,BD_REVIT!$C:$C,$A24,BD_REVIT!$F:$F,V$4)</f>
        <v>0</v>
      </c>
      <c r="W24" s="13" t="n">
        <f aca="false">SUMIFS(BD_REVIT!$H:$H,BD_REVIT!$C:$C,$A24,BD_REVIT!$F:$F,W$4)</f>
        <v>0</v>
      </c>
      <c r="X24" s="13" t="n">
        <f aca="false">SUMIFS(BD_REVIT!$H:$H,BD_REVIT!$C:$C,$A24,BD_REVIT!$F:$F,X$4)</f>
        <v>0</v>
      </c>
      <c r="Y24" s="13" t="n">
        <f aca="false">SUMIFS(BD_REVIT!$H:$H,BD_REVIT!$C:$C,$A24,BD_REVIT!$F:$F,Y$4)</f>
        <v>0</v>
      </c>
      <c r="Z24" s="52" t="n">
        <f aca="false">SUM(D24:Y24)</f>
        <v>0</v>
      </c>
      <c r="AA24" s="13" t="n">
        <f aca="false">NIVEL!D408</f>
        <v>0</v>
      </c>
      <c r="AB24" s="13" t="n">
        <f aca="false">ROUND(Z24-AA24,2)</f>
        <v>0</v>
      </c>
    </row>
    <row r="25" customFormat="false" ht="15" hidden="false" customHeight="false" outlineLevel="0" collapsed="false">
      <c r="A25" s="10" t="s">
        <v>724</v>
      </c>
      <c r="B25" s="51" t="s">
        <v>85</v>
      </c>
      <c r="C25" s="10" t="s">
        <v>61</v>
      </c>
      <c r="D25" s="13" t="n">
        <f aca="false">SUMIFS(BD_REVIT!$H:$H,BD_REVIT!$C:$C,$A25,BD_REVIT!$F:$F,D$4)</f>
        <v>0</v>
      </c>
      <c r="E25" s="13" t="n">
        <f aca="false">SUMIFS(BD_REVIT!$H:$H,BD_REVIT!$C:$C,$A25,BD_REVIT!$F:$F,E$4)</f>
        <v>0</v>
      </c>
      <c r="F25" s="13" t="n">
        <f aca="false">SUMIFS(BD_REVIT!$H:$H,BD_REVIT!$C:$C,$A25,BD_REVIT!$F:$F,F$4)</f>
        <v>0</v>
      </c>
      <c r="G25" s="13" t="n">
        <f aca="false">SUMIFS(BD_REVIT!$H:$H,BD_REVIT!$C:$C,$A25,BD_REVIT!$F:$F,G$4)</f>
        <v>0</v>
      </c>
      <c r="H25" s="13" t="n">
        <f aca="false">SUMIFS(BD_REVIT!$H:$H,BD_REVIT!$C:$C,$A25,BD_REVIT!$F:$F,H$4)</f>
        <v>0</v>
      </c>
      <c r="I25" s="13" t="n">
        <f aca="false">SUMIFS(BD_REVIT!$H:$H,BD_REVIT!$C:$C,$A25,BD_REVIT!$F:$F,I$4)</f>
        <v>0</v>
      </c>
      <c r="J25" s="13" t="n">
        <f aca="false">SUMIFS(BD_REVIT!$H:$H,BD_REVIT!$C:$C,$A25,BD_REVIT!$F:$F,J$4)</f>
        <v>0</v>
      </c>
      <c r="K25" s="13" t="n">
        <f aca="false">SUMIFS(BD_REVIT!$H:$H,BD_REVIT!$C:$C,$A25,BD_REVIT!$F:$F,K$4)</f>
        <v>0</v>
      </c>
      <c r="L25" s="13" t="n">
        <f aca="false">SUMIFS(BD_REVIT!$H:$H,BD_REVIT!$C:$C,$A25,BD_REVIT!$F:$F,L$4)</f>
        <v>0</v>
      </c>
      <c r="M25" s="13" t="n">
        <f aca="false">SUMIFS(BD_REVIT!$H:$H,BD_REVIT!$C:$C,$A25,BD_REVIT!$F:$F,M$4)</f>
        <v>0</v>
      </c>
      <c r="N25" s="13" t="n">
        <f aca="false">SUMIFS(BD_REVIT!$H:$H,BD_REVIT!$C:$C,$A25,BD_REVIT!$F:$F,N$4)</f>
        <v>0</v>
      </c>
      <c r="O25" s="13" t="n">
        <f aca="false">SUMIFS(BD_REVIT!$H:$H,BD_REVIT!$C:$C,$A25,BD_REVIT!$F:$F,O$4)</f>
        <v>0</v>
      </c>
      <c r="P25" s="13" t="n">
        <f aca="false">SUMIFS(BD_REVIT!$H:$H,BD_REVIT!$C:$C,$A25,BD_REVIT!$F:$F,P$4)</f>
        <v>0</v>
      </c>
      <c r="Q25" s="13" t="n">
        <f aca="false">SUMIFS(BD_REVIT!$H:$H,BD_REVIT!$C:$C,$A25,BD_REVIT!$F:$F,Q$4)</f>
        <v>0</v>
      </c>
      <c r="R25" s="13" t="n">
        <f aca="false">SUMIFS(BD_REVIT!$H:$H,BD_REVIT!$C:$C,$A25,BD_REVIT!$F:$F,R$4)</f>
        <v>0</v>
      </c>
      <c r="S25" s="13" t="n">
        <f aca="false">SUMIFS(BD_REVIT!$H:$H,BD_REVIT!$C:$C,$A25,BD_REVIT!$F:$F,S$4)</f>
        <v>0</v>
      </c>
      <c r="T25" s="13" t="n">
        <f aca="false">SUMIFS(BD_REVIT!$H:$H,BD_REVIT!$C:$C,$A25,BD_REVIT!$F:$F,T$4)</f>
        <v>0</v>
      </c>
      <c r="U25" s="13" t="n">
        <f aca="false">SUMIFS(BD_REVIT!$H:$H,BD_REVIT!$C:$C,$A25,BD_REVIT!$F:$F,U$4)</f>
        <v>0</v>
      </c>
      <c r="V25" s="13" t="n">
        <f aca="false">SUMIFS(BD_REVIT!$H:$H,BD_REVIT!$C:$C,$A25,BD_REVIT!$F:$F,V$4)</f>
        <v>0</v>
      </c>
      <c r="W25" s="13" t="n">
        <f aca="false">SUMIFS(BD_REVIT!$H:$H,BD_REVIT!$C:$C,$A25,BD_REVIT!$F:$F,W$4)</f>
        <v>0</v>
      </c>
      <c r="X25" s="13" t="n">
        <f aca="false">SUMIFS(BD_REVIT!$H:$H,BD_REVIT!$C:$C,$A25,BD_REVIT!$F:$F,X$4)</f>
        <v>0</v>
      </c>
      <c r="Y25" s="13" t="n">
        <f aca="false">SUMIFS(BD_REVIT!$H:$H,BD_REVIT!$C:$C,$A25,BD_REVIT!$F:$F,Y$4)</f>
        <v>0</v>
      </c>
      <c r="Z25" s="52" t="n">
        <f aca="false">SUM(D25:Y25)</f>
        <v>0</v>
      </c>
      <c r="AA25" s="13" t="n">
        <f aca="false">NIVEL!D409</f>
        <v>0</v>
      </c>
      <c r="AB25" s="13" t="n">
        <f aca="false">ROUND(Z25-AA25,2)</f>
        <v>0</v>
      </c>
    </row>
    <row r="26" customFormat="false" ht="15" hidden="false" customHeight="false" outlineLevel="0" collapsed="false">
      <c r="A26" s="10" t="s">
        <v>725</v>
      </c>
      <c r="B26" s="51" t="s">
        <v>726</v>
      </c>
      <c r="C26" s="10" t="s">
        <v>61</v>
      </c>
      <c r="D26" s="13" t="n">
        <f aca="false">SUMIFS(BD_REVIT!$H:$H,BD_REVIT!$C:$C,$A26,BD_REVIT!$F:$F,D$4)</f>
        <v>0</v>
      </c>
      <c r="E26" s="13" t="n">
        <f aca="false">SUMIFS(BD_REVIT!$H:$H,BD_REVIT!$C:$C,$A26,BD_REVIT!$F:$F,E$4)</f>
        <v>0</v>
      </c>
      <c r="F26" s="13" t="n">
        <f aca="false">SUMIFS(BD_REVIT!$H:$H,BD_REVIT!$C:$C,$A26,BD_REVIT!$F:$F,F$4)</f>
        <v>0</v>
      </c>
      <c r="G26" s="13" t="n">
        <f aca="false">SUMIFS(BD_REVIT!$H:$H,BD_REVIT!$C:$C,$A26,BD_REVIT!$F:$F,G$4)</f>
        <v>0</v>
      </c>
      <c r="H26" s="13" t="n">
        <f aca="false">SUMIFS(BD_REVIT!$H:$H,BD_REVIT!$C:$C,$A26,BD_REVIT!$F:$F,H$4)</f>
        <v>0</v>
      </c>
      <c r="I26" s="13" t="n">
        <f aca="false">SUMIFS(BD_REVIT!$H:$H,BD_REVIT!$C:$C,$A26,BD_REVIT!$F:$F,I$4)</f>
        <v>0</v>
      </c>
      <c r="J26" s="13" t="n">
        <f aca="false">SUMIFS(BD_REVIT!$H:$H,BD_REVIT!$C:$C,$A26,BD_REVIT!$F:$F,J$4)</f>
        <v>0</v>
      </c>
      <c r="K26" s="13" t="n">
        <f aca="false">SUMIFS(BD_REVIT!$H:$H,BD_REVIT!$C:$C,$A26,BD_REVIT!$F:$F,K$4)</f>
        <v>0</v>
      </c>
      <c r="L26" s="13" t="n">
        <f aca="false">SUMIFS(BD_REVIT!$H:$H,BD_REVIT!$C:$C,$A26,BD_REVIT!$F:$F,L$4)</f>
        <v>0</v>
      </c>
      <c r="M26" s="13" t="n">
        <f aca="false">SUMIFS(BD_REVIT!$H:$H,BD_REVIT!$C:$C,$A26,BD_REVIT!$F:$F,M$4)</f>
        <v>0</v>
      </c>
      <c r="N26" s="13" t="n">
        <f aca="false">SUMIFS(BD_REVIT!$H:$H,BD_REVIT!$C:$C,$A26,BD_REVIT!$F:$F,N$4)</f>
        <v>0</v>
      </c>
      <c r="O26" s="13" t="n">
        <f aca="false">SUMIFS(BD_REVIT!$H:$H,BD_REVIT!$C:$C,$A26,BD_REVIT!$F:$F,O$4)</f>
        <v>0</v>
      </c>
      <c r="P26" s="13" t="n">
        <f aca="false">SUMIFS(BD_REVIT!$H:$H,BD_REVIT!$C:$C,$A26,BD_REVIT!$F:$F,P$4)</f>
        <v>0</v>
      </c>
      <c r="Q26" s="13" t="n">
        <f aca="false">SUMIFS(BD_REVIT!$H:$H,BD_REVIT!$C:$C,$A26,BD_REVIT!$F:$F,Q$4)</f>
        <v>0</v>
      </c>
      <c r="R26" s="13" t="n">
        <f aca="false">SUMIFS(BD_REVIT!$H:$H,BD_REVIT!$C:$C,$A26,BD_REVIT!$F:$F,R$4)</f>
        <v>0</v>
      </c>
      <c r="S26" s="13" t="n">
        <f aca="false">SUMIFS(BD_REVIT!$H:$H,BD_REVIT!$C:$C,$A26,BD_REVIT!$F:$F,S$4)</f>
        <v>0</v>
      </c>
      <c r="T26" s="13" t="n">
        <f aca="false">SUMIFS(BD_REVIT!$H:$H,BD_REVIT!$C:$C,$A26,BD_REVIT!$F:$F,T$4)</f>
        <v>0</v>
      </c>
      <c r="U26" s="13" t="n">
        <f aca="false">SUMIFS(BD_REVIT!$H:$H,BD_REVIT!$C:$C,$A26,BD_REVIT!$F:$F,U$4)</f>
        <v>0</v>
      </c>
      <c r="V26" s="13" t="n">
        <f aca="false">SUMIFS(BD_REVIT!$H:$H,BD_REVIT!$C:$C,$A26,BD_REVIT!$F:$F,V$4)</f>
        <v>0</v>
      </c>
      <c r="W26" s="13" t="n">
        <f aca="false">SUMIFS(BD_REVIT!$H:$H,BD_REVIT!$C:$C,$A26,BD_REVIT!$F:$F,W$4)</f>
        <v>0</v>
      </c>
      <c r="X26" s="13" t="n">
        <f aca="false">SUMIFS(BD_REVIT!$H:$H,BD_REVIT!$C:$C,$A26,BD_REVIT!$F:$F,X$4)</f>
        <v>0</v>
      </c>
      <c r="Y26" s="13" t="n">
        <f aca="false">SUMIFS(BD_REVIT!$H:$H,BD_REVIT!$C:$C,$A26,BD_REVIT!$F:$F,Y$4)</f>
        <v>0</v>
      </c>
      <c r="Z26" s="52" t="n">
        <f aca="false">SUM(D26:Y26)</f>
        <v>0</v>
      </c>
      <c r="AA26" s="13" t="n">
        <f aca="false">NIVEL!D410</f>
        <v>0</v>
      </c>
      <c r="AB26" s="13" t="n">
        <f aca="false">ROUND(Z26-AA26,2)</f>
        <v>0</v>
      </c>
    </row>
    <row r="27" customFormat="false" ht="15" hidden="false" customHeight="false" outlineLevel="0" collapsed="false">
      <c r="A27" s="10" t="s">
        <v>727</v>
      </c>
      <c r="B27" s="51" t="s">
        <v>728</v>
      </c>
      <c r="C27" s="10" t="s">
        <v>61</v>
      </c>
      <c r="D27" s="13" t="n">
        <f aca="false">SUMIFS(BD_REVIT!$H:$H,BD_REVIT!$C:$C,$A27,BD_REVIT!$F:$F,D$4)</f>
        <v>2</v>
      </c>
      <c r="E27" s="13" t="n">
        <f aca="false">SUMIFS(BD_REVIT!$H:$H,BD_REVIT!$C:$C,$A27,BD_REVIT!$F:$F,E$4)</f>
        <v>0</v>
      </c>
      <c r="F27" s="13" t="n">
        <f aca="false">SUMIFS(BD_REVIT!$H:$H,BD_REVIT!$C:$C,$A27,BD_REVIT!$F:$F,F$4)</f>
        <v>0</v>
      </c>
      <c r="G27" s="13" t="n">
        <f aca="false">SUMIFS(BD_REVIT!$H:$H,BD_REVIT!$C:$C,$A27,BD_REVIT!$F:$F,G$4)</f>
        <v>0</v>
      </c>
      <c r="H27" s="13" t="n">
        <f aca="false">SUMIFS(BD_REVIT!$H:$H,BD_REVIT!$C:$C,$A27,BD_REVIT!$F:$F,H$4)</f>
        <v>0</v>
      </c>
      <c r="I27" s="13" t="n">
        <f aca="false">SUMIFS(BD_REVIT!$H:$H,BD_REVIT!$C:$C,$A27,BD_REVIT!$F:$F,I$4)</f>
        <v>0</v>
      </c>
      <c r="J27" s="13" t="n">
        <f aca="false">SUMIFS(BD_REVIT!$H:$H,BD_REVIT!$C:$C,$A27,BD_REVIT!$F:$F,J$4)</f>
        <v>0</v>
      </c>
      <c r="K27" s="13" t="n">
        <f aca="false">SUMIFS(BD_REVIT!$H:$H,BD_REVIT!$C:$C,$A27,BD_REVIT!$F:$F,K$4)</f>
        <v>0</v>
      </c>
      <c r="L27" s="13" t="n">
        <f aca="false">SUMIFS(BD_REVIT!$H:$H,BD_REVIT!$C:$C,$A27,BD_REVIT!$F:$F,L$4)</f>
        <v>0</v>
      </c>
      <c r="M27" s="13" t="n">
        <f aca="false">SUMIFS(BD_REVIT!$H:$H,BD_REVIT!$C:$C,$A27,BD_REVIT!$F:$F,M$4)</f>
        <v>0</v>
      </c>
      <c r="N27" s="13" t="n">
        <f aca="false">SUMIFS(BD_REVIT!$H:$H,BD_REVIT!$C:$C,$A27,BD_REVIT!$F:$F,N$4)</f>
        <v>0</v>
      </c>
      <c r="O27" s="13" t="n">
        <f aca="false">SUMIFS(BD_REVIT!$H:$H,BD_REVIT!$C:$C,$A27,BD_REVIT!$F:$F,O$4)</f>
        <v>0</v>
      </c>
      <c r="P27" s="13" t="n">
        <f aca="false">SUMIFS(BD_REVIT!$H:$H,BD_REVIT!$C:$C,$A27,BD_REVIT!$F:$F,P$4)</f>
        <v>0</v>
      </c>
      <c r="Q27" s="13" t="n">
        <f aca="false">SUMIFS(BD_REVIT!$H:$H,BD_REVIT!$C:$C,$A27,BD_REVIT!$F:$F,Q$4)</f>
        <v>0</v>
      </c>
      <c r="R27" s="13" t="n">
        <f aca="false">SUMIFS(BD_REVIT!$H:$H,BD_REVIT!$C:$C,$A27,BD_REVIT!$F:$F,R$4)</f>
        <v>0</v>
      </c>
      <c r="S27" s="13" t="n">
        <f aca="false">SUMIFS(BD_REVIT!$H:$H,BD_REVIT!$C:$C,$A27,BD_REVIT!$F:$F,S$4)</f>
        <v>0</v>
      </c>
      <c r="T27" s="13" t="n">
        <f aca="false">SUMIFS(BD_REVIT!$H:$H,BD_REVIT!$C:$C,$A27,BD_REVIT!$F:$F,T$4)</f>
        <v>0</v>
      </c>
      <c r="U27" s="13" t="n">
        <f aca="false">SUMIFS(BD_REVIT!$H:$H,BD_REVIT!$C:$C,$A27,BD_REVIT!$F:$F,U$4)</f>
        <v>0</v>
      </c>
      <c r="V27" s="13" t="n">
        <f aca="false">SUMIFS(BD_REVIT!$H:$H,BD_REVIT!$C:$C,$A27,BD_REVIT!$F:$F,V$4)</f>
        <v>0</v>
      </c>
      <c r="W27" s="13" t="n">
        <f aca="false">SUMIFS(BD_REVIT!$H:$H,BD_REVIT!$C:$C,$A27,BD_REVIT!$F:$F,W$4)</f>
        <v>0</v>
      </c>
      <c r="X27" s="13" t="n">
        <f aca="false">SUMIFS(BD_REVIT!$H:$H,BD_REVIT!$C:$C,$A27,BD_REVIT!$F:$F,X$4)</f>
        <v>0</v>
      </c>
      <c r="Y27" s="13" t="n">
        <f aca="false">SUMIFS(BD_REVIT!$H:$H,BD_REVIT!$C:$C,$A27,BD_REVIT!$F:$F,Y$4)</f>
        <v>0</v>
      </c>
      <c r="Z27" s="52" t="n">
        <f aca="false">SUM(D27:Y27)</f>
        <v>2</v>
      </c>
      <c r="AA27" s="13" t="n">
        <f aca="false">NIVEL!D411</f>
        <v>2</v>
      </c>
      <c r="AB27" s="13" t="n">
        <f aca="false">ROUND(Z27-AA27,2)</f>
        <v>0</v>
      </c>
    </row>
    <row r="28" customFormat="false" ht="15" hidden="false" customHeight="false" outlineLevel="0" collapsed="false">
      <c r="A28" s="10" t="s">
        <v>730</v>
      </c>
      <c r="B28" s="51" t="s">
        <v>731</v>
      </c>
      <c r="C28" s="10" t="s">
        <v>61</v>
      </c>
      <c r="D28" s="13" t="n">
        <f aca="false">SUMIFS(BD_REVIT!$H:$H,BD_REVIT!$C:$C,$A28,BD_REVIT!$F:$F,D$4)</f>
        <v>0</v>
      </c>
      <c r="E28" s="13" t="n">
        <f aca="false">SUMIFS(BD_REVIT!$H:$H,BD_REVIT!$C:$C,$A28,BD_REVIT!$F:$F,E$4)</f>
        <v>0</v>
      </c>
      <c r="F28" s="13" t="n">
        <f aca="false">SUMIFS(BD_REVIT!$H:$H,BD_REVIT!$C:$C,$A28,BD_REVIT!$F:$F,F$4)</f>
        <v>0</v>
      </c>
      <c r="G28" s="13" t="n">
        <f aca="false">SUMIFS(BD_REVIT!$H:$H,BD_REVIT!$C:$C,$A28,BD_REVIT!$F:$F,G$4)</f>
        <v>0</v>
      </c>
      <c r="H28" s="13" t="n">
        <f aca="false">SUMIFS(BD_REVIT!$H:$H,BD_REVIT!$C:$C,$A28,BD_REVIT!$F:$F,H$4)</f>
        <v>0</v>
      </c>
      <c r="I28" s="13" t="n">
        <f aca="false">SUMIFS(BD_REVIT!$H:$H,BD_REVIT!$C:$C,$A28,BD_REVIT!$F:$F,I$4)</f>
        <v>0</v>
      </c>
      <c r="J28" s="13" t="n">
        <f aca="false">SUMIFS(BD_REVIT!$H:$H,BD_REVIT!$C:$C,$A28,BD_REVIT!$F:$F,J$4)</f>
        <v>0</v>
      </c>
      <c r="K28" s="13" t="n">
        <f aca="false">SUMIFS(BD_REVIT!$H:$H,BD_REVIT!$C:$C,$A28,BD_REVIT!$F:$F,K$4)</f>
        <v>0</v>
      </c>
      <c r="L28" s="13" t="n">
        <f aca="false">SUMIFS(BD_REVIT!$H:$H,BD_REVIT!$C:$C,$A28,BD_REVIT!$F:$F,L$4)</f>
        <v>0</v>
      </c>
      <c r="M28" s="13" t="n">
        <f aca="false">SUMIFS(BD_REVIT!$H:$H,BD_REVIT!$C:$C,$A28,BD_REVIT!$F:$F,M$4)</f>
        <v>0</v>
      </c>
      <c r="N28" s="13" t="n">
        <f aca="false">SUMIFS(BD_REVIT!$H:$H,BD_REVIT!$C:$C,$A28,BD_REVIT!$F:$F,N$4)</f>
        <v>0</v>
      </c>
      <c r="O28" s="13" t="n">
        <f aca="false">SUMIFS(BD_REVIT!$H:$H,BD_REVIT!$C:$C,$A28,BD_REVIT!$F:$F,O$4)</f>
        <v>0</v>
      </c>
      <c r="P28" s="13" t="n">
        <f aca="false">SUMIFS(BD_REVIT!$H:$H,BD_REVIT!$C:$C,$A28,BD_REVIT!$F:$F,P$4)</f>
        <v>0</v>
      </c>
      <c r="Q28" s="13" t="n">
        <f aca="false">SUMIFS(BD_REVIT!$H:$H,BD_REVIT!$C:$C,$A28,BD_REVIT!$F:$F,Q$4)</f>
        <v>0</v>
      </c>
      <c r="R28" s="13" t="n">
        <f aca="false">SUMIFS(BD_REVIT!$H:$H,BD_REVIT!$C:$C,$A28,BD_REVIT!$F:$F,R$4)</f>
        <v>0</v>
      </c>
      <c r="S28" s="13" t="n">
        <f aca="false">SUMIFS(BD_REVIT!$H:$H,BD_REVIT!$C:$C,$A28,BD_REVIT!$F:$F,S$4)</f>
        <v>0</v>
      </c>
      <c r="T28" s="13" t="n">
        <f aca="false">SUMIFS(BD_REVIT!$H:$H,BD_REVIT!$C:$C,$A28,BD_REVIT!$F:$F,T$4)</f>
        <v>0</v>
      </c>
      <c r="U28" s="13" t="n">
        <f aca="false">SUMIFS(BD_REVIT!$H:$H,BD_REVIT!$C:$C,$A28,BD_REVIT!$F:$F,U$4)</f>
        <v>0</v>
      </c>
      <c r="V28" s="13" t="n">
        <f aca="false">SUMIFS(BD_REVIT!$H:$H,BD_REVIT!$C:$C,$A28,BD_REVIT!$F:$F,V$4)</f>
        <v>0</v>
      </c>
      <c r="W28" s="13" t="n">
        <f aca="false">SUMIFS(BD_REVIT!$H:$H,BD_REVIT!$C:$C,$A28,BD_REVIT!$F:$F,W$4)</f>
        <v>0</v>
      </c>
      <c r="X28" s="13" t="n">
        <f aca="false">SUMIFS(BD_REVIT!$H:$H,BD_REVIT!$C:$C,$A28,BD_REVIT!$F:$F,X$4)</f>
        <v>0</v>
      </c>
      <c r="Y28" s="13" t="n">
        <f aca="false">SUMIFS(BD_REVIT!$H:$H,BD_REVIT!$C:$C,$A28,BD_REVIT!$F:$F,Y$4)</f>
        <v>0</v>
      </c>
      <c r="Z28" s="52" t="n">
        <f aca="false">SUM(D28:Y28)</f>
        <v>0</v>
      </c>
      <c r="AA28" s="13" t="n">
        <f aca="false">NIVEL!D413</f>
        <v>0</v>
      </c>
      <c r="AB28" s="13" t="n">
        <f aca="false">ROUND(Z28-AA28,2)</f>
        <v>0</v>
      </c>
    </row>
    <row r="29" customFormat="false" ht="15" hidden="false" customHeight="false" outlineLevel="0" collapsed="false">
      <c r="A29" s="10" t="s">
        <v>732</v>
      </c>
      <c r="B29" s="51" t="s">
        <v>733</v>
      </c>
      <c r="C29" s="10" t="s">
        <v>61</v>
      </c>
      <c r="D29" s="13" t="n">
        <f aca="false">SUMIFS(BD_REVIT!$H:$H,BD_REVIT!$C:$C,$A29,BD_REVIT!$F:$F,D$4)</f>
        <v>0</v>
      </c>
      <c r="E29" s="13" t="n">
        <f aca="false">SUMIFS(BD_REVIT!$H:$H,BD_REVIT!$C:$C,$A29,BD_REVIT!$F:$F,E$4)</f>
        <v>0</v>
      </c>
      <c r="F29" s="13" t="n">
        <f aca="false">SUMIFS(BD_REVIT!$H:$H,BD_REVIT!$C:$C,$A29,BD_REVIT!$F:$F,F$4)</f>
        <v>0</v>
      </c>
      <c r="G29" s="13" t="n">
        <f aca="false">SUMIFS(BD_REVIT!$H:$H,BD_REVIT!$C:$C,$A29,BD_REVIT!$F:$F,G$4)</f>
        <v>0</v>
      </c>
      <c r="H29" s="13" t="n">
        <f aca="false">SUMIFS(BD_REVIT!$H:$H,BD_REVIT!$C:$C,$A29,BD_REVIT!$F:$F,H$4)</f>
        <v>0</v>
      </c>
      <c r="I29" s="13" t="n">
        <f aca="false">SUMIFS(BD_REVIT!$H:$H,BD_REVIT!$C:$C,$A29,BD_REVIT!$F:$F,I$4)</f>
        <v>0</v>
      </c>
      <c r="J29" s="13" t="n">
        <f aca="false">SUMIFS(BD_REVIT!$H:$H,BD_REVIT!$C:$C,$A29,BD_REVIT!$F:$F,J$4)</f>
        <v>0</v>
      </c>
      <c r="K29" s="13" t="n">
        <f aca="false">SUMIFS(BD_REVIT!$H:$H,BD_REVIT!$C:$C,$A29,BD_REVIT!$F:$F,K$4)</f>
        <v>2</v>
      </c>
      <c r="L29" s="13" t="n">
        <f aca="false">SUMIFS(BD_REVIT!$H:$H,BD_REVIT!$C:$C,$A29,BD_REVIT!$F:$F,L$4)</f>
        <v>0</v>
      </c>
      <c r="M29" s="13" t="n">
        <f aca="false">SUMIFS(BD_REVIT!$H:$H,BD_REVIT!$C:$C,$A29,BD_REVIT!$F:$F,M$4)</f>
        <v>0</v>
      </c>
      <c r="N29" s="13" t="n">
        <f aca="false">SUMIFS(BD_REVIT!$H:$H,BD_REVIT!$C:$C,$A29,BD_REVIT!$F:$F,N$4)</f>
        <v>0</v>
      </c>
      <c r="O29" s="13" t="n">
        <f aca="false">SUMIFS(BD_REVIT!$H:$H,BD_REVIT!$C:$C,$A29,BD_REVIT!$F:$F,O$4)</f>
        <v>0</v>
      </c>
      <c r="P29" s="13" t="n">
        <f aca="false">SUMIFS(BD_REVIT!$H:$H,BD_REVIT!$C:$C,$A29,BD_REVIT!$F:$F,P$4)</f>
        <v>0</v>
      </c>
      <c r="Q29" s="13" t="n">
        <f aca="false">SUMIFS(BD_REVIT!$H:$H,BD_REVIT!$C:$C,$A29,BD_REVIT!$F:$F,Q$4)</f>
        <v>0</v>
      </c>
      <c r="R29" s="13" t="n">
        <f aca="false">SUMIFS(BD_REVIT!$H:$H,BD_REVIT!$C:$C,$A29,BD_REVIT!$F:$F,R$4)</f>
        <v>0</v>
      </c>
      <c r="S29" s="13" t="n">
        <f aca="false">SUMIFS(BD_REVIT!$H:$H,BD_REVIT!$C:$C,$A29,BD_REVIT!$F:$F,S$4)</f>
        <v>0</v>
      </c>
      <c r="T29" s="13" t="n">
        <f aca="false">SUMIFS(BD_REVIT!$H:$H,BD_REVIT!$C:$C,$A29,BD_REVIT!$F:$F,T$4)</f>
        <v>0</v>
      </c>
      <c r="U29" s="13" t="n">
        <f aca="false">SUMIFS(BD_REVIT!$H:$H,BD_REVIT!$C:$C,$A29,BD_REVIT!$F:$F,U$4)</f>
        <v>0</v>
      </c>
      <c r="V29" s="13" t="n">
        <f aca="false">SUMIFS(BD_REVIT!$H:$H,BD_REVIT!$C:$C,$A29,BD_REVIT!$F:$F,V$4)</f>
        <v>0</v>
      </c>
      <c r="W29" s="13" t="n">
        <f aca="false">SUMIFS(BD_REVIT!$H:$H,BD_REVIT!$C:$C,$A29,BD_REVIT!$F:$F,W$4)</f>
        <v>0</v>
      </c>
      <c r="X29" s="13" t="n">
        <f aca="false">SUMIFS(BD_REVIT!$H:$H,BD_REVIT!$C:$C,$A29,BD_REVIT!$F:$F,X$4)</f>
        <v>0</v>
      </c>
      <c r="Y29" s="13" t="n">
        <f aca="false">SUMIFS(BD_REVIT!$H:$H,BD_REVIT!$C:$C,$A29,BD_REVIT!$F:$F,Y$4)</f>
        <v>0</v>
      </c>
      <c r="Z29" s="52" t="n">
        <f aca="false">SUM(D29:Y29)</f>
        <v>2</v>
      </c>
      <c r="AA29" s="13" t="n">
        <f aca="false">NIVEL!D414</f>
        <v>2</v>
      </c>
      <c r="AB29" s="13" t="n">
        <f aca="false">ROUND(Z29-AA29,2)</f>
        <v>0</v>
      </c>
    </row>
    <row r="30" customFormat="false" ht="15" hidden="false" customHeight="false" outlineLevel="0" collapsed="false">
      <c r="A30" s="10" t="s">
        <v>734</v>
      </c>
      <c r="B30" s="51" t="s">
        <v>735</v>
      </c>
      <c r="C30" s="10" t="s">
        <v>61</v>
      </c>
      <c r="D30" s="13" t="n">
        <f aca="false">SUMIFS(BD_REVIT!$H:$H,BD_REVIT!$C:$C,$A30,BD_REVIT!$F:$F,D$4)</f>
        <v>0</v>
      </c>
      <c r="E30" s="13" t="n">
        <f aca="false">SUMIFS(BD_REVIT!$H:$H,BD_REVIT!$C:$C,$A30,BD_REVIT!$F:$F,E$4)</f>
        <v>2</v>
      </c>
      <c r="F30" s="13" t="n">
        <f aca="false">SUMIFS(BD_REVIT!$H:$H,BD_REVIT!$C:$C,$A30,BD_REVIT!$F:$F,F$4)</f>
        <v>13</v>
      </c>
      <c r="G30" s="13" t="n">
        <f aca="false">SUMIFS(BD_REVIT!$H:$H,BD_REVIT!$C:$C,$A30,BD_REVIT!$F:$F,G$4)</f>
        <v>11</v>
      </c>
      <c r="H30" s="13" t="n">
        <f aca="false">SUMIFS(BD_REVIT!$H:$H,BD_REVIT!$C:$C,$A30,BD_REVIT!$F:$F,H$4)</f>
        <v>14</v>
      </c>
      <c r="I30" s="13" t="n">
        <f aca="false">SUMIFS(BD_REVIT!$H:$H,BD_REVIT!$C:$C,$A30,BD_REVIT!$F:$F,I$4)</f>
        <v>15</v>
      </c>
      <c r="J30" s="13" t="n">
        <f aca="false">SUMIFS(BD_REVIT!$H:$H,BD_REVIT!$C:$C,$A30,BD_REVIT!$F:$F,J$4)</f>
        <v>3</v>
      </c>
      <c r="K30" s="13" t="n">
        <f aca="false">SUMIFS(BD_REVIT!$H:$H,BD_REVIT!$C:$C,$A30,BD_REVIT!$F:$F,K$4)</f>
        <v>2</v>
      </c>
      <c r="L30" s="13" t="n">
        <f aca="false">SUMIFS(BD_REVIT!$H:$H,BD_REVIT!$C:$C,$A30,BD_REVIT!$F:$F,L$4)</f>
        <v>0</v>
      </c>
      <c r="M30" s="13" t="n">
        <f aca="false">SUMIFS(BD_REVIT!$H:$H,BD_REVIT!$C:$C,$A30,BD_REVIT!$F:$F,M$4)</f>
        <v>0</v>
      </c>
      <c r="N30" s="13" t="n">
        <f aca="false">SUMIFS(BD_REVIT!$H:$H,BD_REVIT!$C:$C,$A30,BD_REVIT!$F:$F,N$4)</f>
        <v>0</v>
      </c>
      <c r="O30" s="13" t="n">
        <f aca="false">SUMIFS(BD_REVIT!$H:$H,BD_REVIT!$C:$C,$A30,BD_REVIT!$F:$F,O$4)</f>
        <v>0</v>
      </c>
      <c r="P30" s="13" t="n">
        <f aca="false">SUMIFS(BD_REVIT!$H:$H,BD_REVIT!$C:$C,$A30,BD_REVIT!$F:$F,P$4)</f>
        <v>0</v>
      </c>
      <c r="Q30" s="13" t="n">
        <f aca="false">SUMIFS(BD_REVIT!$H:$H,BD_REVIT!$C:$C,$A30,BD_REVIT!$F:$F,Q$4)</f>
        <v>0</v>
      </c>
      <c r="R30" s="13" t="n">
        <f aca="false">SUMIFS(BD_REVIT!$H:$H,BD_REVIT!$C:$C,$A30,BD_REVIT!$F:$F,R$4)</f>
        <v>0</v>
      </c>
      <c r="S30" s="13" t="n">
        <f aca="false">SUMIFS(BD_REVIT!$H:$H,BD_REVIT!$C:$C,$A30,BD_REVIT!$F:$F,S$4)</f>
        <v>0</v>
      </c>
      <c r="T30" s="13" t="n">
        <f aca="false">SUMIFS(BD_REVIT!$H:$H,BD_REVIT!$C:$C,$A30,BD_REVIT!$F:$F,T$4)</f>
        <v>0</v>
      </c>
      <c r="U30" s="13" t="n">
        <f aca="false">SUMIFS(BD_REVIT!$H:$H,BD_REVIT!$C:$C,$A30,BD_REVIT!$F:$F,U$4)</f>
        <v>0</v>
      </c>
      <c r="V30" s="13" t="n">
        <f aca="false">SUMIFS(BD_REVIT!$H:$H,BD_REVIT!$C:$C,$A30,BD_REVIT!$F:$F,V$4)</f>
        <v>0</v>
      </c>
      <c r="W30" s="13" t="n">
        <f aca="false">SUMIFS(BD_REVIT!$H:$H,BD_REVIT!$C:$C,$A30,BD_REVIT!$F:$F,W$4)</f>
        <v>0</v>
      </c>
      <c r="X30" s="13" t="n">
        <f aca="false">SUMIFS(BD_REVIT!$H:$H,BD_REVIT!$C:$C,$A30,BD_REVIT!$F:$F,X$4)</f>
        <v>0</v>
      </c>
      <c r="Y30" s="13" t="n">
        <f aca="false">SUMIFS(BD_REVIT!$H:$H,BD_REVIT!$C:$C,$A30,BD_REVIT!$F:$F,Y$4)</f>
        <v>0</v>
      </c>
      <c r="Z30" s="52" t="n">
        <f aca="false">SUM(D30:Y30)</f>
        <v>60</v>
      </c>
      <c r="AA30" s="13" t="n">
        <f aca="false">NIVEL!D415</f>
        <v>60</v>
      </c>
      <c r="AB30" s="13" t="n">
        <f aca="false">ROUND(Z30-AA30,2)</f>
        <v>0</v>
      </c>
    </row>
    <row r="31" customFormat="false" ht="15" hidden="false" customHeight="false" outlineLevel="0" collapsed="false">
      <c r="A31" s="10" t="s">
        <v>736</v>
      </c>
      <c r="B31" s="51" t="s">
        <v>737</v>
      </c>
      <c r="C31" s="10" t="s">
        <v>61</v>
      </c>
      <c r="D31" s="13" t="n">
        <f aca="false">SUMIFS(BD_REVIT!$H:$H,BD_REVIT!$C:$C,$A31,BD_REVIT!$F:$F,D$4)</f>
        <v>0</v>
      </c>
      <c r="E31" s="13" t="n">
        <f aca="false">SUMIFS(BD_REVIT!$H:$H,BD_REVIT!$C:$C,$A31,BD_REVIT!$F:$F,E$4)</f>
        <v>3</v>
      </c>
      <c r="F31" s="13" t="n">
        <f aca="false">SUMIFS(BD_REVIT!$H:$H,BD_REVIT!$C:$C,$A31,BD_REVIT!$F:$F,F$4)</f>
        <v>38</v>
      </c>
      <c r="G31" s="13" t="n">
        <f aca="false">SUMIFS(BD_REVIT!$H:$H,BD_REVIT!$C:$C,$A31,BD_REVIT!$F:$F,G$4)</f>
        <v>35</v>
      </c>
      <c r="H31" s="13" t="n">
        <f aca="false">SUMIFS(BD_REVIT!$H:$H,BD_REVIT!$C:$C,$A31,BD_REVIT!$F:$F,H$4)</f>
        <v>31</v>
      </c>
      <c r="I31" s="13" t="n">
        <f aca="false">SUMIFS(BD_REVIT!$H:$H,BD_REVIT!$C:$C,$A31,BD_REVIT!$F:$F,I$4)</f>
        <v>38</v>
      </c>
      <c r="J31" s="13" t="n">
        <f aca="false">SUMIFS(BD_REVIT!$H:$H,BD_REVIT!$C:$C,$A31,BD_REVIT!$F:$F,J$4)</f>
        <v>16</v>
      </c>
      <c r="K31" s="13" t="n">
        <f aca="false">SUMIFS(BD_REVIT!$H:$H,BD_REVIT!$C:$C,$A31,BD_REVIT!$F:$F,K$4)</f>
        <v>6</v>
      </c>
      <c r="L31" s="13" t="n">
        <f aca="false">SUMIFS(BD_REVIT!$H:$H,BD_REVIT!$C:$C,$A31,BD_REVIT!$F:$F,L$4)</f>
        <v>0</v>
      </c>
      <c r="M31" s="13" t="n">
        <f aca="false">SUMIFS(BD_REVIT!$H:$H,BD_REVIT!$C:$C,$A31,BD_REVIT!$F:$F,M$4)</f>
        <v>0</v>
      </c>
      <c r="N31" s="13" t="n">
        <f aca="false">SUMIFS(BD_REVIT!$H:$H,BD_REVIT!$C:$C,$A31,BD_REVIT!$F:$F,N$4)</f>
        <v>0</v>
      </c>
      <c r="O31" s="13" t="n">
        <f aca="false">SUMIFS(BD_REVIT!$H:$H,BD_REVIT!$C:$C,$A31,BD_REVIT!$F:$F,O$4)</f>
        <v>0</v>
      </c>
      <c r="P31" s="13" t="n">
        <f aca="false">SUMIFS(BD_REVIT!$H:$H,BD_REVIT!$C:$C,$A31,BD_REVIT!$F:$F,P$4)</f>
        <v>0</v>
      </c>
      <c r="Q31" s="13" t="n">
        <f aca="false">SUMIFS(BD_REVIT!$H:$H,BD_REVIT!$C:$C,$A31,BD_REVIT!$F:$F,Q$4)</f>
        <v>0</v>
      </c>
      <c r="R31" s="13" t="n">
        <f aca="false">SUMIFS(BD_REVIT!$H:$H,BD_REVIT!$C:$C,$A31,BD_REVIT!$F:$F,R$4)</f>
        <v>0</v>
      </c>
      <c r="S31" s="13" t="n">
        <f aca="false">SUMIFS(BD_REVIT!$H:$H,BD_REVIT!$C:$C,$A31,BD_REVIT!$F:$F,S$4)</f>
        <v>0</v>
      </c>
      <c r="T31" s="13" t="n">
        <f aca="false">SUMIFS(BD_REVIT!$H:$H,BD_REVIT!$C:$C,$A31,BD_REVIT!$F:$F,T$4)</f>
        <v>0</v>
      </c>
      <c r="U31" s="13" t="n">
        <f aca="false">SUMIFS(BD_REVIT!$H:$H,BD_REVIT!$C:$C,$A31,BD_REVIT!$F:$F,U$4)</f>
        <v>0</v>
      </c>
      <c r="V31" s="13" t="n">
        <f aca="false">SUMIFS(BD_REVIT!$H:$H,BD_REVIT!$C:$C,$A31,BD_REVIT!$F:$F,V$4)</f>
        <v>0</v>
      </c>
      <c r="W31" s="13" t="n">
        <f aca="false">SUMIFS(BD_REVIT!$H:$H,BD_REVIT!$C:$C,$A31,BD_REVIT!$F:$F,W$4)</f>
        <v>0</v>
      </c>
      <c r="X31" s="13" t="n">
        <f aca="false">SUMIFS(BD_REVIT!$H:$H,BD_REVIT!$C:$C,$A31,BD_REVIT!$F:$F,X$4)</f>
        <v>0</v>
      </c>
      <c r="Y31" s="13" t="n">
        <f aca="false">SUMIFS(BD_REVIT!$H:$H,BD_REVIT!$C:$C,$A31,BD_REVIT!$F:$F,Y$4)</f>
        <v>0</v>
      </c>
      <c r="Z31" s="52" t="n">
        <f aca="false">SUM(D31:Y31)</f>
        <v>167</v>
      </c>
      <c r="AA31" s="13" t="n">
        <f aca="false">NIVEL!D416</f>
        <v>167</v>
      </c>
      <c r="AB31" s="13" t="n">
        <f aca="false">ROUND(Z31-AA31,2)</f>
        <v>0</v>
      </c>
    </row>
    <row r="32" customFormat="false" ht="15" hidden="false" customHeight="false" outlineLevel="0" collapsed="false">
      <c r="A32" s="10" t="s">
        <v>738</v>
      </c>
      <c r="B32" s="51" t="s">
        <v>739</v>
      </c>
      <c r="C32" s="10" t="s">
        <v>61</v>
      </c>
      <c r="D32" s="13" t="n">
        <f aca="false">SUMIFS(BD_REVIT!$H:$H,BD_REVIT!$C:$C,$A32,BD_REVIT!$F:$F,D$4)</f>
        <v>0</v>
      </c>
      <c r="E32" s="13" t="n">
        <f aca="false">SUMIFS(BD_REVIT!$H:$H,BD_REVIT!$C:$C,$A32,BD_REVIT!$F:$F,E$4)</f>
        <v>0</v>
      </c>
      <c r="F32" s="13" t="n">
        <f aca="false">SUMIFS(BD_REVIT!$H:$H,BD_REVIT!$C:$C,$A32,BD_REVIT!$F:$F,F$4)</f>
        <v>0</v>
      </c>
      <c r="G32" s="13" t="n">
        <f aca="false">SUMIFS(BD_REVIT!$H:$H,BD_REVIT!$C:$C,$A32,BD_REVIT!$F:$F,G$4)</f>
        <v>0</v>
      </c>
      <c r="H32" s="13" t="n">
        <f aca="false">SUMIFS(BD_REVIT!$H:$H,BD_REVIT!$C:$C,$A32,BD_REVIT!$F:$F,H$4)</f>
        <v>0</v>
      </c>
      <c r="I32" s="13" t="n">
        <f aca="false">SUMIFS(BD_REVIT!$H:$H,BD_REVIT!$C:$C,$A32,BD_REVIT!$F:$F,I$4)</f>
        <v>0</v>
      </c>
      <c r="J32" s="13" t="n">
        <f aca="false">SUMIFS(BD_REVIT!$H:$H,BD_REVIT!$C:$C,$A32,BD_REVIT!$F:$F,J$4)</f>
        <v>1</v>
      </c>
      <c r="K32" s="13" t="n">
        <f aca="false">SUMIFS(BD_REVIT!$H:$H,BD_REVIT!$C:$C,$A32,BD_REVIT!$F:$F,K$4)</f>
        <v>0</v>
      </c>
      <c r="L32" s="13" t="n">
        <f aca="false">SUMIFS(BD_REVIT!$H:$H,BD_REVIT!$C:$C,$A32,BD_REVIT!$F:$F,L$4)</f>
        <v>0</v>
      </c>
      <c r="M32" s="13" t="n">
        <f aca="false">SUMIFS(BD_REVIT!$H:$H,BD_REVIT!$C:$C,$A32,BD_REVIT!$F:$F,M$4)</f>
        <v>0</v>
      </c>
      <c r="N32" s="13" t="n">
        <f aca="false">SUMIFS(BD_REVIT!$H:$H,BD_REVIT!$C:$C,$A32,BD_REVIT!$F:$F,N$4)</f>
        <v>0</v>
      </c>
      <c r="O32" s="13" t="n">
        <f aca="false">SUMIFS(BD_REVIT!$H:$H,BD_REVIT!$C:$C,$A32,BD_REVIT!$F:$F,O$4)</f>
        <v>0</v>
      </c>
      <c r="P32" s="13" t="n">
        <f aca="false">SUMIFS(BD_REVIT!$H:$H,BD_REVIT!$C:$C,$A32,BD_REVIT!$F:$F,P$4)</f>
        <v>0</v>
      </c>
      <c r="Q32" s="13" t="n">
        <f aca="false">SUMIFS(BD_REVIT!$H:$H,BD_REVIT!$C:$C,$A32,BD_REVIT!$F:$F,Q$4)</f>
        <v>0</v>
      </c>
      <c r="R32" s="13" t="n">
        <f aca="false">SUMIFS(BD_REVIT!$H:$H,BD_REVIT!$C:$C,$A32,BD_REVIT!$F:$F,R$4)</f>
        <v>0</v>
      </c>
      <c r="S32" s="13" t="n">
        <f aca="false">SUMIFS(BD_REVIT!$H:$H,BD_REVIT!$C:$C,$A32,BD_REVIT!$F:$F,S$4)</f>
        <v>0</v>
      </c>
      <c r="T32" s="13" t="n">
        <f aca="false">SUMIFS(BD_REVIT!$H:$H,BD_REVIT!$C:$C,$A32,BD_REVIT!$F:$F,T$4)</f>
        <v>0</v>
      </c>
      <c r="U32" s="13" t="n">
        <f aca="false">SUMIFS(BD_REVIT!$H:$H,BD_REVIT!$C:$C,$A32,BD_REVIT!$F:$F,U$4)</f>
        <v>0</v>
      </c>
      <c r="V32" s="13" t="n">
        <f aca="false">SUMIFS(BD_REVIT!$H:$H,BD_REVIT!$C:$C,$A32,BD_REVIT!$F:$F,V$4)</f>
        <v>0</v>
      </c>
      <c r="W32" s="13" t="n">
        <f aca="false">SUMIFS(BD_REVIT!$H:$H,BD_REVIT!$C:$C,$A32,BD_REVIT!$F:$F,W$4)</f>
        <v>0</v>
      </c>
      <c r="X32" s="13" t="n">
        <f aca="false">SUMIFS(BD_REVIT!$H:$H,BD_REVIT!$C:$C,$A32,BD_REVIT!$F:$F,X$4)</f>
        <v>0</v>
      </c>
      <c r="Y32" s="13" t="n">
        <f aca="false">SUMIFS(BD_REVIT!$H:$H,BD_REVIT!$C:$C,$A32,BD_REVIT!$F:$F,Y$4)</f>
        <v>0</v>
      </c>
      <c r="Z32" s="52" t="n">
        <f aca="false">SUM(D32:Y32)</f>
        <v>1</v>
      </c>
      <c r="AA32" s="13" t="n">
        <f aca="false">NIVEL!D417</f>
        <v>1</v>
      </c>
      <c r="AB32" s="13" t="n">
        <f aca="false">ROUND(Z32-AA32,2)</f>
        <v>0</v>
      </c>
    </row>
    <row r="33" customFormat="false" ht="15" hidden="false" customHeight="false" outlineLevel="0" collapsed="false">
      <c r="A33" s="10" t="s">
        <v>740</v>
      </c>
      <c r="B33" s="51" t="s">
        <v>741</v>
      </c>
      <c r="C33" s="10" t="s">
        <v>61</v>
      </c>
      <c r="D33" s="13" t="n">
        <f aca="false">SUMIFS(BD_REVIT!$H:$H,BD_REVIT!$C:$C,$A33,BD_REVIT!$F:$F,D$4)</f>
        <v>0</v>
      </c>
      <c r="E33" s="13" t="n">
        <f aca="false">SUMIFS(BD_REVIT!$H:$H,BD_REVIT!$C:$C,$A33,BD_REVIT!$F:$F,E$4)</f>
        <v>0</v>
      </c>
      <c r="F33" s="13" t="n">
        <f aca="false">SUMIFS(BD_REVIT!$H:$H,BD_REVIT!$C:$C,$A33,BD_REVIT!$F:$F,F$4)</f>
        <v>0</v>
      </c>
      <c r="G33" s="13" t="n">
        <f aca="false">SUMIFS(BD_REVIT!$H:$H,BD_REVIT!$C:$C,$A33,BD_REVIT!$F:$F,G$4)</f>
        <v>0</v>
      </c>
      <c r="H33" s="13" t="n">
        <f aca="false">SUMIFS(BD_REVIT!$H:$H,BD_REVIT!$C:$C,$A33,BD_REVIT!$F:$F,H$4)</f>
        <v>0</v>
      </c>
      <c r="I33" s="13" t="n">
        <f aca="false">SUMIFS(BD_REVIT!$H:$H,BD_REVIT!$C:$C,$A33,BD_REVIT!$F:$F,I$4)</f>
        <v>0</v>
      </c>
      <c r="J33" s="13" t="n">
        <f aca="false">SUMIFS(BD_REVIT!$H:$H,BD_REVIT!$C:$C,$A33,BD_REVIT!$F:$F,J$4)</f>
        <v>3</v>
      </c>
      <c r="K33" s="13" t="n">
        <f aca="false">SUMIFS(BD_REVIT!$H:$H,BD_REVIT!$C:$C,$A33,BD_REVIT!$F:$F,K$4)</f>
        <v>0</v>
      </c>
      <c r="L33" s="13" t="n">
        <f aca="false">SUMIFS(BD_REVIT!$H:$H,BD_REVIT!$C:$C,$A33,BD_REVIT!$F:$F,L$4)</f>
        <v>0</v>
      </c>
      <c r="M33" s="13" t="n">
        <f aca="false">SUMIFS(BD_REVIT!$H:$H,BD_REVIT!$C:$C,$A33,BD_REVIT!$F:$F,M$4)</f>
        <v>0</v>
      </c>
      <c r="N33" s="13" t="n">
        <f aca="false">SUMIFS(BD_REVIT!$H:$H,BD_REVIT!$C:$C,$A33,BD_REVIT!$F:$F,N$4)</f>
        <v>0</v>
      </c>
      <c r="O33" s="13" t="n">
        <f aca="false">SUMIFS(BD_REVIT!$H:$H,BD_REVIT!$C:$C,$A33,BD_REVIT!$F:$F,O$4)</f>
        <v>0</v>
      </c>
      <c r="P33" s="13" t="n">
        <f aca="false">SUMIFS(BD_REVIT!$H:$H,BD_REVIT!$C:$C,$A33,BD_REVIT!$F:$F,P$4)</f>
        <v>0</v>
      </c>
      <c r="Q33" s="13" t="n">
        <f aca="false">SUMIFS(BD_REVIT!$H:$H,BD_REVIT!$C:$C,$A33,BD_REVIT!$F:$F,Q$4)</f>
        <v>0</v>
      </c>
      <c r="R33" s="13" t="n">
        <f aca="false">SUMIFS(BD_REVIT!$H:$H,BD_REVIT!$C:$C,$A33,BD_REVIT!$F:$F,R$4)</f>
        <v>0</v>
      </c>
      <c r="S33" s="13" t="n">
        <f aca="false">SUMIFS(BD_REVIT!$H:$H,BD_REVIT!$C:$C,$A33,BD_REVIT!$F:$F,S$4)</f>
        <v>0</v>
      </c>
      <c r="T33" s="13" t="n">
        <f aca="false">SUMIFS(BD_REVIT!$H:$H,BD_REVIT!$C:$C,$A33,BD_REVIT!$F:$F,T$4)</f>
        <v>0</v>
      </c>
      <c r="U33" s="13" t="n">
        <f aca="false">SUMIFS(BD_REVIT!$H:$H,BD_REVIT!$C:$C,$A33,BD_REVIT!$F:$F,U$4)</f>
        <v>0</v>
      </c>
      <c r="V33" s="13" t="n">
        <f aca="false">SUMIFS(BD_REVIT!$H:$H,BD_REVIT!$C:$C,$A33,BD_REVIT!$F:$F,V$4)</f>
        <v>0</v>
      </c>
      <c r="W33" s="13" t="n">
        <f aca="false">SUMIFS(BD_REVIT!$H:$H,BD_REVIT!$C:$C,$A33,BD_REVIT!$F:$F,W$4)</f>
        <v>0</v>
      </c>
      <c r="X33" s="13" t="n">
        <f aca="false">SUMIFS(BD_REVIT!$H:$H,BD_REVIT!$C:$C,$A33,BD_REVIT!$F:$F,X$4)</f>
        <v>0</v>
      </c>
      <c r="Y33" s="13" t="n">
        <f aca="false">SUMIFS(BD_REVIT!$H:$H,BD_REVIT!$C:$C,$A33,BD_REVIT!$F:$F,Y$4)</f>
        <v>0</v>
      </c>
      <c r="Z33" s="52" t="n">
        <f aca="false">SUM(D33:Y33)</f>
        <v>3</v>
      </c>
      <c r="AA33" s="13" t="n">
        <f aca="false">NIVEL!D418</f>
        <v>3</v>
      </c>
      <c r="AB33" s="13" t="n">
        <f aca="false">ROUND(Z33-AA33,2)</f>
        <v>0</v>
      </c>
    </row>
    <row r="34" customFormat="false" ht="15" hidden="false" customHeight="false" outlineLevel="0" collapsed="false">
      <c r="A34" s="10" t="s">
        <v>742</v>
      </c>
      <c r="B34" s="51" t="s">
        <v>743</v>
      </c>
      <c r="C34" s="10" t="s">
        <v>61</v>
      </c>
      <c r="D34" s="13" t="n">
        <f aca="false">SUMIFS(BD_REVIT!$H:$H,BD_REVIT!$C:$C,$A34,BD_REVIT!$F:$F,D$4)</f>
        <v>6</v>
      </c>
      <c r="E34" s="13" t="n">
        <f aca="false">SUMIFS(BD_REVIT!$H:$H,BD_REVIT!$C:$C,$A34,BD_REVIT!$F:$F,E$4)</f>
        <v>0</v>
      </c>
      <c r="F34" s="13" t="n">
        <f aca="false">SUMIFS(BD_REVIT!$H:$H,BD_REVIT!$C:$C,$A34,BD_REVIT!$F:$F,F$4)</f>
        <v>3</v>
      </c>
      <c r="G34" s="13" t="n">
        <f aca="false">SUMIFS(BD_REVIT!$H:$H,BD_REVIT!$C:$C,$A34,BD_REVIT!$F:$F,G$4)</f>
        <v>2</v>
      </c>
      <c r="H34" s="13" t="n">
        <f aca="false">SUMIFS(BD_REVIT!$H:$H,BD_REVIT!$C:$C,$A34,BD_REVIT!$F:$F,H$4)</f>
        <v>0</v>
      </c>
      <c r="I34" s="13" t="n">
        <f aca="false">SUMIFS(BD_REVIT!$H:$H,BD_REVIT!$C:$C,$A34,BD_REVIT!$F:$F,I$4)</f>
        <v>1</v>
      </c>
      <c r="J34" s="13" t="n">
        <f aca="false">SUMIFS(BD_REVIT!$H:$H,BD_REVIT!$C:$C,$A34,BD_REVIT!$F:$F,J$4)</f>
        <v>0</v>
      </c>
      <c r="K34" s="13" t="n">
        <f aca="false">SUMIFS(BD_REVIT!$H:$H,BD_REVIT!$C:$C,$A34,BD_REVIT!$F:$F,K$4)</f>
        <v>0</v>
      </c>
      <c r="L34" s="13" t="n">
        <f aca="false">SUMIFS(BD_REVIT!$H:$H,BD_REVIT!$C:$C,$A34,BD_REVIT!$F:$F,L$4)</f>
        <v>0</v>
      </c>
      <c r="M34" s="13" t="n">
        <f aca="false">SUMIFS(BD_REVIT!$H:$H,BD_REVIT!$C:$C,$A34,BD_REVIT!$F:$F,M$4)</f>
        <v>2</v>
      </c>
      <c r="N34" s="13" t="n">
        <f aca="false">SUMIFS(BD_REVIT!$H:$H,BD_REVIT!$C:$C,$A34,BD_REVIT!$F:$F,N$4)</f>
        <v>0</v>
      </c>
      <c r="O34" s="13" t="n">
        <f aca="false">SUMIFS(BD_REVIT!$H:$H,BD_REVIT!$C:$C,$A34,BD_REVIT!$F:$F,O$4)</f>
        <v>0</v>
      </c>
      <c r="P34" s="13" t="n">
        <f aca="false">SUMIFS(BD_REVIT!$H:$H,BD_REVIT!$C:$C,$A34,BD_REVIT!$F:$F,P$4)</f>
        <v>0</v>
      </c>
      <c r="Q34" s="13" t="n">
        <f aca="false">SUMIFS(BD_REVIT!$H:$H,BD_REVIT!$C:$C,$A34,BD_REVIT!$F:$F,Q$4)</f>
        <v>0</v>
      </c>
      <c r="R34" s="13" t="n">
        <f aca="false">SUMIFS(BD_REVIT!$H:$H,BD_REVIT!$C:$C,$A34,BD_REVIT!$F:$F,R$4)</f>
        <v>0</v>
      </c>
      <c r="S34" s="13" t="n">
        <f aca="false">SUMIFS(BD_REVIT!$H:$H,BD_REVIT!$C:$C,$A34,BD_REVIT!$F:$F,S$4)</f>
        <v>0</v>
      </c>
      <c r="T34" s="13" t="n">
        <f aca="false">SUMIFS(BD_REVIT!$H:$H,BD_REVIT!$C:$C,$A34,BD_REVIT!$F:$F,T$4)</f>
        <v>0</v>
      </c>
      <c r="U34" s="13" t="n">
        <f aca="false">SUMIFS(BD_REVIT!$H:$H,BD_REVIT!$C:$C,$A34,BD_REVIT!$F:$F,U$4)</f>
        <v>0</v>
      </c>
      <c r="V34" s="13" t="n">
        <f aca="false">SUMIFS(BD_REVIT!$H:$H,BD_REVIT!$C:$C,$A34,BD_REVIT!$F:$F,V$4)</f>
        <v>0</v>
      </c>
      <c r="W34" s="13" t="n">
        <f aca="false">SUMIFS(BD_REVIT!$H:$H,BD_REVIT!$C:$C,$A34,BD_REVIT!$F:$F,W$4)</f>
        <v>0</v>
      </c>
      <c r="X34" s="13" t="n">
        <f aca="false">SUMIFS(BD_REVIT!$H:$H,BD_REVIT!$C:$C,$A34,BD_REVIT!$F:$F,X$4)</f>
        <v>0</v>
      </c>
      <c r="Y34" s="13" t="n">
        <f aca="false">SUMIFS(BD_REVIT!$H:$H,BD_REVIT!$C:$C,$A34,BD_REVIT!$F:$F,Y$4)</f>
        <v>0</v>
      </c>
      <c r="Z34" s="52" t="n">
        <f aca="false">SUM(D34:Y34)</f>
        <v>14</v>
      </c>
      <c r="AA34" s="13" t="n">
        <f aca="false">NIVEL!D419</f>
        <v>14</v>
      </c>
      <c r="AB34" s="13" t="n">
        <f aca="false">ROUND(Z34-AA34,2)</f>
        <v>0</v>
      </c>
    </row>
    <row r="35" customFormat="false" ht="15" hidden="false" customHeight="false" outlineLevel="0" collapsed="false">
      <c r="A35" s="10" t="s">
        <v>744</v>
      </c>
      <c r="B35" s="51" t="s">
        <v>745</v>
      </c>
      <c r="C35" s="10" t="s">
        <v>61</v>
      </c>
      <c r="D35" s="13" t="n">
        <f aca="false">SUMIFS(BD_REVIT!$H:$H,BD_REVIT!$C:$C,$A35,BD_REVIT!$F:$F,D$4)</f>
        <v>9</v>
      </c>
      <c r="E35" s="13" t="n">
        <f aca="false">SUMIFS(BD_REVIT!$H:$H,BD_REVIT!$C:$C,$A35,BD_REVIT!$F:$F,E$4)</f>
        <v>0</v>
      </c>
      <c r="F35" s="13" t="n">
        <f aca="false">SUMIFS(BD_REVIT!$H:$H,BD_REVIT!$C:$C,$A35,BD_REVIT!$F:$F,F$4)</f>
        <v>0</v>
      </c>
      <c r="G35" s="13" t="n">
        <f aca="false">SUMIFS(BD_REVIT!$H:$H,BD_REVIT!$C:$C,$A35,BD_REVIT!$F:$F,G$4)</f>
        <v>2</v>
      </c>
      <c r="H35" s="13" t="n">
        <f aca="false">SUMIFS(BD_REVIT!$H:$H,BD_REVIT!$C:$C,$A35,BD_REVIT!$F:$F,H$4)</f>
        <v>0</v>
      </c>
      <c r="I35" s="13" t="n">
        <f aca="false">SUMIFS(BD_REVIT!$H:$H,BD_REVIT!$C:$C,$A35,BD_REVIT!$F:$F,I$4)</f>
        <v>2</v>
      </c>
      <c r="J35" s="13" t="n">
        <f aca="false">SUMIFS(BD_REVIT!$H:$H,BD_REVIT!$C:$C,$A35,BD_REVIT!$F:$F,J$4)</f>
        <v>2</v>
      </c>
      <c r="K35" s="13" t="n">
        <f aca="false">SUMIFS(BD_REVIT!$H:$H,BD_REVIT!$C:$C,$A35,BD_REVIT!$F:$F,K$4)</f>
        <v>0</v>
      </c>
      <c r="L35" s="13" t="n">
        <f aca="false">SUMIFS(BD_REVIT!$H:$H,BD_REVIT!$C:$C,$A35,BD_REVIT!$F:$F,L$4)</f>
        <v>0</v>
      </c>
      <c r="M35" s="13" t="n">
        <f aca="false">SUMIFS(BD_REVIT!$H:$H,BD_REVIT!$C:$C,$A35,BD_REVIT!$F:$F,M$4)</f>
        <v>2</v>
      </c>
      <c r="N35" s="13" t="n">
        <f aca="false">SUMIFS(BD_REVIT!$H:$H,BD_REVIT!$C:$C,$A35,BD_REVIT!$F:$F,N$4)</f>
        <v>0</v>
      </c>
      <c r="O35" s="13" t="n">
        <f aca="false">SUMIFS(BD_REVIT!$H:$H,BD_REVIT!$C:$C,$A35,BD_REVIT!$F:$F,O$4)</f>
        <v>0</v>
      </c>
      <c r="P35" s="13" t="n">
        <f aca="false">SUMIFS(BD_REVIT!$H:$H,BD_REVIT!$C:$C,$A35,BD_REVIT!$F:$F,P$4)</f>
        <v>2</v>
      </c>
      <c r="Q35" s="13" t="n">
        <f aca="false">SUMIFS(BD_REVIT!$H:$H,BD_REVIT!$C:$C,$A35,BD_REVIT!$F:$F,Q$4)</f>
        <v>0</v>
      </c>
      <c r="R35" s="13" t="n">
        <f aca="false">SUMIFS(BD_REVIT!$H:$H,BD_REVIT!$C:$C,$A35,BD_REVIT!$F:$F,R$4)</f>
        <v>0</v>
      </c>
      <c r="S35" s="13" t="n">
        <f aca="false">SUMIFS(BD_REVIT!$H:$H,BD_REVIT!$C:$C,$A35,BD_REVIT!$F:$F,S$4)</f>
        <v>2</v>
      </c>
      <c r="T35" s="13" t="n">
        <f aca="false">SUMIFS(BD_REVIT!$H:$H,BD_REVIT!$C:$C,$A35,BD_REVIT!$F:$F,T$4)</f>
        <v>0</v>
      </c>
      <c r="U35" s="13" t="n">
        <f aca="false">SUMIFS(BD_REVIT!$H:$H,BD_REVIT!$C:$C,$A35,BD_REVIT!$F:$F,U$4)</f>
        <v>0</v>
      </c>
      <c r="V35" s="13" t="n">
        <f aca="false">SUMIFS(BD_REVIT!$H:$H,BD_REVIT!$C:$C,$A35,BD_REVIT!$F:$F,V$4)</f>
        <v>0</v>
      </c>
      <c r="W35" s="13" t="n">
        <f aca="false">SUMIFS(BD_REVIT!$H:$H,BD_REVIT!$C:$C,$A35,BD_REVIT!$F:$F,W$4)</f>
        <v>0</v>
      </c>
      <c r="X35" s="13" t="n">
        <f aca="false">SUMIFS(BD_REVIT!$H:$H,BD_REVIT!$C:$C,$A35,BD_REVIT!$F:$F,X$4)</f>
        <v>0</v>
      </c>
      <c r="Y35" s="13" t="n">
        <f aca="false">SUMIFS(BD_REVIT!$H:$H,BD_REVIT!$C:$C,$A35,BD_REVIT!$F:$F,Y$4)</f>
        <v>0</v>
      </c>
      <c r="Z35" s="52" t="n">
        <f aca="false">SUM(D35:Y35)</f>
        <v>21</v>
      </c>
      <c r="AA35" s="13" t="n">
        <f aca="false">NIVEL!D420</f>
        <v>21</v>
      </c>
      <c r="AB35" s="13" t="n">
        <f aca="false">ROUND(Z35-AA35,2)</f>
        <v>0</v>
      </c>
    </row>
    <row r="36" customFormat="false" ht="15" hidden="false" customHeight="false" outlineLevel="0" collapsed="false">
      <c r="A36" s="10" t="s">
        <v>747</v>
      </c>
      <c r="B36" s="51" t="s">
        <v>717</v>
      </c>
      <c r="C36" s="10" t="s">
        <v>75</v>
      </c>
      <c r="D36" s="13" t="n">
        <f aca="false">SUMIFS(BD_REVIT!$H:$H,BD_REVIT!$C:$C,$A36,BD_REVIT!$F:$F,D$4)</f>
        <v>0</v>
      </c>
      <c r="E36" s="13" t="n">
        <f aca="false">SUMIFS(BD_REVIT!$H:$H,BD_REVIT!$C:$C,$A36,BD_REVIT!$F:$F,E$4)</f>
        <v>0</v>
      </c>
      <c r="F36" s="13" t="n">
        <f aca="false">SUMIFS(BD_REVIT!$H:$H,BD_REVIT!$C:$C,$A36,BD_REVIT!$F:$F,F$4)</f>
        <v>0</v>
      </c>
      <c r="G36" s="13" t="n">
        <f aca="false">SUMIFS(BD_REVIT!$H:$H,BD_REVIT!$C:$C,$A36,BD_REVIT!$F:$F,G$4)</f>
        <v>0</v>
      </c>
      <c r="H36" s="13" t="n">
        <f aca="false">SUMIFS(BD_REVIT!$H:$H,BD_REVIT!$C:$C,$A36,BD_REVIT!$F:$F,H$4)</f>
        <v>0</v>
      </c>
      <c r="I36" s="13" t="n">
        <f aca="false">SUMIFS(BD_REVIT!$H:$H,BD_REVIT!$C:$C,$A36,BD_REVIT!$F:$F,I$4)</f>
        <v>0</v>
      </c>
      <c r="J36" s="13" t="n">
        <f aca="false">SUMIFS(BD_REVIT!$H:$H,BD_REVIT!$C:$C,$A36,BD_REVIT!$F:$F,J$4)</f>
        <v>0</v>
      </c>
      <c r="K36" s="13" t="n">
        <f aca="false">SUMIFS(BD_REVIT!$H:$H,BD_REVIT!$C:$C,$A36,BD_REVIT!$F:$F,K$4)</f>
        <v>0</v>
      </c>
      <c r="L36" s="13" t="n">
        <f aca="false">SUMIFS(BD_REVIT!$H:$H,BD_REVIT!$C:$C,$A36,BD_REVIT!$F:$F,L$4)</f>
        <v>0</v>
      </c>
      <c r="M36" s="13" t="n">
        <f aca="false">SUMIFS(BD_REVIT!$H:$H,BD_REVIT!$C:$C,$A36,BD_REVIT!$F:$F,M$4)</f>
        <v>0</v>
      </c>
      <c r="N36" s="13" t="n">
        <f aca="false">SUMIFS(BD_REVIT!$H:$H,BD_REVIT!$C:$C,$A36,BD_REVIT!$F:$F,N$4)</f>
        <v>0</v>
      </c>
      <c r="O36" s="13" t="n">
        <f aca="false">SUMIFS(BD_REVIT!$H:$H,BD_REVIT!$C:$C,$A36,BD_REVIT!$F:$F,O$4)</f>
        <v>0</v>
      </c>
      <c r="P36" s="13" t="n">
        <f aca="false">SUMIFS(BD_REVIT!$H:$H,BD_REVIT!$C:$C,$A36,BD_REVIT!$F:$F,P$4)</f>
        <v>0</v>
      </c>
      <c r="Q36" s="13" t="n">
        <f aca="false">SUMIFS(BD_REVIT!$H:$H,BD_REVIT!$C:$C,$A36,BD_REVIT!$F:$F,Q$4)</f>
        <v>0</v>
      </c>
      <c r="R36" s="13" t="n">
        <f aca="false">SUMIFS(BD_REVIT!$H:$H,BD_REVIT!$C:$C,$A36,BD_REVIT!$F:$F,R$4)</f>
        <v>0</v>
      </c>
      <c r="S36" s="13" t="n">
        <f aca="false">SUMIFS(BD_REVIT!$H:$H,BD_REVIT!$C:$C,$A36,BD_REVIT!$F:$F,S$4)</f>
        <v>0</v>
      </c>
      <c r="T36" s="13" t="n">
        <f aca="false">SUMIFS(BD_REVIT!$H:$H,BD_REVIT!$C:$C,$A36,BD_REVIT!$F:$F,T$4)</f>
        <v>0</v>
      </c>
      <c r="U36" s="13" t="n">
        <f aca="false">SUMIFS(BD_REVIT!$H:$H,BD_REVIT!$C:$C,$A36,BD_REVIT!$F:$F,U$4)</f>
        <v>0</v>
      </c>
      <c r="V36" s="13" t="n">
        <f aca="false">SUMIFS(BD_REVIT!$H:$H,BD_REVIT!$C:$C,$A36,BD_REVIT!$F:$F,V$4)</f>
        <v>0</v>
      </c>
      <c r="W36" s="13" t="n">
        <f aca="false">SUMIFS(BD_REVIT!$H:$H,BD_REVIT!$C:$C,$A36,BD_REVIT!$F:$F,W$4)</f>
        <v>0</v>
      </c>
      <c r="X36" s="13" t="n">
        <f aca="false">SUMIFS(BD_REVIT!$H:$H,BD_REVIT!$C:$C,$A36,BD_REVIT!$F:$F,X$4)</f>
        <v>0</v>
      </c>
      <c r="Y36" s="13" t="n">
        <f aca="false">SUMIFS(BD_REVIT!$H:$H,BD_REVIT!$C:$C,$A36,BD_REVIT!$F:$F,Y$4)</f>
        <v>0</v>
      </c>
      <c r="Z36" s="52" t="n">
        <f aca="false">SUM(D36:Y36)</f>
        <v>0</v>
      </c>
      <c r="AA36" s="13" t="n">
        <f aca="false">NIVEL!D422</f>
        <v>0</v>
      </c>
      <c r="AB36" s="13" t="n">
        <f aca="false">ROUND(Z36-AA36,2)</f>
        <v>0</v>
      </c>
    </row>
    <row r="37" customFormat="false" ht="15" hidden="false" customHeight="false" outlineLevel="0" collapsed="false">
      <c r="A37" s="10" t="s">
        <v>748</v>
      </c>
      <c r="B37" s="51" t="s">
        <v>749</v>
      </c>
      <c r="C37" s="10" t="s">
        <v>61</v>
      </c>
      <c r="D37" s="13" t="n">
        <f aca="false">SUMIFS(BD_REVIT!$H:$H,BD_REVIT!$C:$C,$A37,BD_REVIT!$F:$F,D$4)</f>
        <v>0</v>
      </c>
      <c r="E37" s="13" t="n">
        <f aca="false">SUMIFS(BD_REVIT!$H:$H,BD_REVIT!$C:$C,$A37,BD_REVIT!$F:$F,E$4)</f>
        <v>0</v>
      </c>
      <c r="F37" s="13" t="n">
        <f aca="false">SUMIFS(BD_REVIT!$H:$H,BD_REVIT!$C:$C,$A37,BD_REVIT!$F:$F,F$4)</f>
        <v>0</v>
      </c>
      <c r="G37" s="13" t="n">
        <f aca="false">SUMIFS(BD_REVIT!$H:$H,BD_REVIT!$C:$C,$A37,BD_REVIT!$F:$F,G$4)</f>
        <v>0</v>
      </c>
      <c r="H37" s="13" t="n">
        <f aca="false">SUMIFS(BD_REVIT!$H:$H,BD_REVIT!$C:$C,$A37,BD_REVIT!$F:$F,H$4)</f>
        <v>0</v>
      </c>
      <c r="I37" s="13" t="n">
        <f aca="false">SUMIFS(BD_REVIT!$H:$H,BD_REVIT!$C:$C,$A37,BD_REVIT!$F:$F,I$4)</f>
        <v>0</v>
      </c>
      <c r="J37" s="13" t="n">
        <f aca="false">SUMIFS(BD_REVIT!$H:$H,BD_REVIT!$C:$C,$A37,BD_REVIT!$F:$F,J$4)</f>
        <v>0</v>
      </c>
      <c r="K37" s="13" t="n">
        <f aca="false">SUMIFS(BD_REVIT!$H:$H,BD_REVIT!$C:$C,$A37,BD_REVIT!$F:$F,K$4)</f>
        <v>0</v>
      </c>
      <c r="L37" s="13" t="n">
        <f aca="false">SUMIFS(BD_REVIT!$H:$H,BD_REVIT!$C:$C,$A37,BD_REVIT!$F:$F,L$4)</f>
        <v>0</v>
      </c>
      <c r="M37" s="13" t="n">
        <f aca="false">SUMIFS(BD_REVIT!$H:$H,BD_REVIT!$C:$C,$A37,BD_REVIT!$F:$F,M$4)</f>
        <v>0</v>
      </c>
      <c r="N37" s="13" t="n">
        <f aca="false">SUMIFS(BD_REVIT!$H:$H,BD_REVIT!$C:$C,$A37,BD_REVIT!$F:$F,N$4)</f>
        <v>0</v>
      </c>
      <c r="O37" s="13" t="n">
        <f aca="false">SUMIFS(BD_REVIT!$H:$H,BD_REVIT!$C:$C,$A37,BD_REVIT!$F:$F,O$4)</f>
        <v>0</v>
      </c>
      <c r="P37" s="13" t="n">
        <f aca="false">SUMIFS(BD_REVIT!$H:$H,BD_REVIT!$C:$C,$A37,BD_REVIT!$F:$F,P$4)</f>
        <v>0</v>
      </c>
      <c r="Q37" s="13" t="n">
        <f aca="false">SUMIFS(BD_REVIT!$H:$H,BD_REVIT!$C:$C,$A37,BD_REVIT!$F:$F,Q$4)</f>
        <v>0</v>
      </c>
      <c r="R37" s="13" t="n">
        <f aca="false">SUMIFS(BD_REVIT!$H:$H,BD_REVIT!$C:$C,$A37,BD_REVIT!$F:$F,R$4)</f>
        <v>0</v>
      </c>
      <c r="S37" s="13" t="n">
        <f aca="false">SUMIFS(BD_REVIT!$H:$H,BD_REVIT!$C:$C,$A37,BD_REVIT!$F:$F,S$4)</f>
        <v>0</v>
      </c>
      <c r="T37" s="13" t="n">
        <f aca="false">SUMIFS(BD_REVIT!$H:$H,BD_REVIT!$C:$C,$A37,BD_REVIT!$F:$F,T$4)</f>
        <v>0</v>
      </c>
      <c r="U37" s="13" t="n">
        <f aca="false">SUMIFS(BD_REVIT!$H:$H,BD_REVIT!$C:$C,$A37,BD_REVIT!$F:$F,U$4)</f>
        <v>0</v>
      </c>
      <c r="V37" s="13" t="n">
        <f aca="false">SUMIFS(BD_REVIT!$H:$H,BD_REVIT!$C:$C,$A37,BD_REVIT!$F:$F,V$4)</f>
        <v>0</v>
      </c>
      <c r="W37" s="13" t="n">
        <f aca="false">SUMIFS(BD_REVIT!$H:$H,BD_REVIT!$C:$C,$A37,BD_REVIT!$F:$F,W$4)</f>
        <v>0</v>
      </c>
      <c r="X37" s="13" t="n">
        <f aca="false">SUMIFS(BD_REVIT!$H:$H,BD_REVIT!$C:$C,$A37,BD_REVIT!$F:$F,X$4)</f>
        <v>0</v>
      </c>
      <c r="Y37" s="13" t="n">
        <f aca="false">SUMIFS(BD_REVIT!$H:$H,BD_REVIT!$C:$C,$A37,BD_REVIT!$F:$F,Y$4)</f>
        <v>0</v>
      </c>
      <c r="Z37" s="52" t="n">
        <f aca="false">SUM(D37:Y37)</f>
        <v>0</v>
      </c>
      <c r="AA37" s="13" t="n">
        <f aca="false">NIVEL!D423</f>
        <v>0</v>
      </c>
      <c r="AB37" s="13" t="n">
        <f aca="false">ROUND(Z37-AA37,2)</f>
        <v>0</v>
      </c>
    </row>
    <row r="38" customFormat="false" ht="15" hidden="false" customHeight="false" outlineLevel="0" collapsed="false">
      <c r="A38" s="10" t="s">
        <v>750</v>
      </c>
      <c r="B38" s="51" t="s">
        <v>751</v>
      </c>
      <c r="C38" s="10" t="s">
        <v>61</v>
      </c>
      <c r="D38" s="13" t="n">
        <f aca="false">SUMIFS(BD_REVIT!$H:$H,BD_REVIT!$C:$C,$A38,BD_REVIT!$F:$F,D$4)</f>
        <v>0</v>
      </c>
      <c r="E38" s="13" t="n">
        <f aca="false">SUMIFS(BD_REVIT!$H:$H,BD_REVIT!$C:$C,$A38,BD_REVIT!$F:$F,E$4)</f>
        <v>0</v>
      </c>
      <c r="F38" s="13" t="n">
        <f aca="false">SUMIFS(BD_REVIT!$H:$H,BD_REVIT!$C:$C,$A38,BD_REVIT!$F:$F,F$4)</f>
        <v>0</v>
      </c>
      <c r="G38" s="13" t="n">
        <f aca="false">SUMIFS(BD_REVIT!$H:$H,BD_REVIT!$C:$C,$A38,BD_REVIT!$F:$F,G$4)</f>
        <v>0</v>
      </c>
      <c r="H38" s="13" t="n">
        <f aca="false">SUMIFS(BD_REVIT!$H:$H,BD_REVIT!$C:$C,$A38,BD_REVIT!$F:$F,H$4)</f>
        <v>0</v>
      </c>
      <c r="I38" s="13" t="n">
        <f aca="false">SUMIFS(BD_REVIT!$H:$H,BD_REVIT!$C:$C,$A38,BD_REVIT!$F:$F,I$4)</f>
        <v>0</v>
      </c>
      <c r="J38" s="13" t="n">
        <f aca="false">SUMIFS(BD_REVIT!$H:$H,BD_REVIT!$C:$C,$A38,BD_REVIT!$F:$F,J$4)</f>
        <v>0</v>
      </c>
      <c r="K38" s="13" t="n">
        <f aca="false">SUMIFS(BD_REVIT!$H:$H,BD_REVIT!$C:$C,$A38,BD_REVIT!$F:$F,K$4)</f>
        <v>0</v>
      </c>
      <c r="L38" s="13" t="n">
        <f aca="false">SUMIFS(BD_REVIT!$H:$H,BD_REVIT!$C:$C,$A38,BD_REVIT!$F:$F,L$4)</f>
        <v>0</v>
      </c>
      <c r="M38" s="13" t="n">
        <f aca="false">SUMIFS(BD_REVIT!$H:$H,BD_REVIT!$C:$C,$A38,BD_REVIT!$F:$F,M$4)</f>
        <v>0</v>
      </c>
      <c r="N38" s="13" t="n">
        <f aca="false">SUMIFS(BD_REVIT!$H:$H,BD_REVIT!$C:$C,$A38,BD_REVIT!$F:$F,N$4)</f>
        <v>0</v>
      </c>
      <c r="O38" s="13" t="n">
        <f aca="false">SUMIFS(BD_REVIT!$H:$H,BD_REVIT!$C:$C,$A38,BD_REVIT!$F:$F,O$4)</f>
        <v>0</v>
      </c>
      <c r="P38" s="13" t="n">
        <f aca="false">SUMIFS(BD_REVIT!$H:$H,BD_REVIT!$C:$C,$A38,BD_REVIT!$F:$F,P$4)</f>
        <v>0</v>
      </c>
      <c r="Q38" s="13" t="n">
        <f aca="false">SUMIFS(BD_REVIT!$H:$H,BD_REVIT!$C:$C,$A38,BD_REVIT!$F:$F,Q$4)</f>
        <v>0</v>
      </c>
      <c r="R38" s="13" t="n">
        <f aca="false">SUMIFS(BD_REVIT!$H:$H,BD_REVIT!$C:$C,$A38,BD_REVIT!$F:$F,R$4)</f>
        <v>0</v>
      </c>
      <c r="S38" s="13" t="n">
        <f aca="false">SUMIFS(BD_REVIT!$H:$H,BD_REVIT!$C:$C,$A38,BD_REVIT!$F:$F,S$4)</f>
        <v>0</v>
      </c>
      <c r="T38" s="13" t="n">
        <f aca="false">SUMIFS(BD_REVIT!$H:$H,BD_REVIT!$C:$C,$A38,BD_REVIT!$F:$F,T$4)</f>
        <v>0</v>
      </c>
      <c r="U38" s="13" t="n">
        <f aca="false">SUMIFS(BD_REVIT!$H:$H,BD_REVIT!$C:$C,$A38,BD_REVIT!$F:$F,U$4)</f>
        <v>0</v>
      </c>
      <c r="V38" s="13" t="n">
        <f aca="false">SUMIFS(BD_REVIT!$H:$H,BD_REVIT!$C:$C,$A38,BD_REVIT!$F:$F,V$4)</f>
        <v>0</v>
      </c>
      <c r="W38" s="13" t="n">
        <f aca="false">SUMIFS(BD_REVIT!$H:$H,BD_REVIT!$C:$C,$A38,BD_REVIT!$F:$F,W$4)</f>
        <v>0</v>
      </c>
      <c r="X38" s="13" t="n">
        <f aca="false">SUMIFS(BD_REVIT!$H:$H,BD_REVIT!$C:$C,$A38,BD_REVIT!$F:$F,X$4)</f>
        <v>0</v>
      </c>
      <c r="Y38" s="13" t="n">
        <f aca="false">SUMIFS(BD_REVIT!$H:$H,BD_REVIT!$C:$C,$A38,BD_REVIT!$F:$F,Y$4)</f>
        <v>0</v>
      </c>
      <c r="Z38" s="52" t="n">
        <f aca="false">SUM(D38:Y38)</f>
        <v>0</v>
      </c>
      <c r="AA38" s="13" t="n">
        <f aca="false">NIVEL!D424</f>
        <v>0</v>
      </c>
      <c r="AB38" s="13" t="n">
        <f aca="false">ROUND(Z38-AA38,2)</f>
        <v>0</v>
      </c>
    </row>
    <row r="39" customFormat="false" ht="15" hidden="false" customHeight="false" outlineLevel="0" collapsed="false">
      <c r="A39" s="10" t="s">
        <v>752</v>
      </c>
      <c r="B39" s="51" t="s">
        <v>753</v>
      </c>
      <c r="C39" s="10" t="s">
        <v>61</v>
      </c>
      <c r="D39" s="13" t="n">
        <f aca="false">SUMIFS(BD_REVIT!$H:$H,BD_REVIT!$C:$C,$A39,BD_REVIT!$F:$F,D$4)</f>
        <v>0</v>
      </c>
      <c r="E39" s="13" t="n">
        <f aca="false">SUMIFS(BD_REVIT!$H:$H,BD_REVIT!$C:$C,$A39,BD_REVIT!$F:$F,E$4)</f>
        <v>0</v>
      </c>
      <c r="F39" s="13" t="n">
        <f aca="false">SUMIFS(BD_REVIT!$H:$H,BD_REVIT!$C:$C,$A39,BD_REVIT!$F:$F,F$4)</f>
        <v>0</v>
      </c>
      <c r="G39" s="13" t="n">
        <f aca="false">SUMIFS(BD_REVIT!$H:$H,BD_REVIT!$C:$C,$A39,BD_REVIT!$F:$F,G$4)</f>
        <v>0</v>
      </c>
      <c r="H39" s="13" t="n">
        <f aca="false">SUMIFS(BD_REVIT!$H:$H,BD_REVIT!$C:$C,$A39,BD_REVIT!$F:$F,H$4)</f>
        <v>0</v>
      </c>
      <c r="I39" s="13" t="n">
        <f aca="false">SUMIFS(BD_REVIT!$H:$H,BD_REVIT!$C:$C,$A39,BD_REVIT!$F:$F,I$4)</f>
        <v>0</v>
      </c>
      <c r="J39" s="13" t="n">
        <f aca="false">SUMIFS(BD_REVIT!$H:$H,BD_REVIT!$C:$C,$A39,BD_REVIT!$F:$F,J$4)</f>
        <v>0</v>
      </c>
      <c r="K39" s="13" t="n">
        <f aca="false">SUMIFS(BD_REVIT!$H:$H,BD_REVIT!$C:$C,$A39,BD_REVIT!$F:$F,K$4)</f>
        <v>0</v>
      </c>
      <c r="L39" s="13" t="n">
        <f aca="false">SUMIFS(BD_REVIT!$H:$H,BD_REVIT!$C:$C,$A39,BD_REVIT!$F:$F,L$4)</f>
        <v>0</v>
      </c>
      <c r="M39" s="13" t="n">
        <f aca="false">SUMIFS(BD_REVIT!$H:$H,BD_REVIT!$C:$C,$A39,BD_REVIT!$F:$F,M$4)</f>
        <v>0</v>
      </c>
      <c r="N39" s="13" t="n">
        <f aca="false">SUMIFS(BD_REVIT!$H:$H,BD_REVIT!$C:$C,$A39,BD_REVIT!$F:$F,N$4)</f>
        <v>0</v>
      </c>
      <c r="O39" s="13" t="n">
        <f aca="false">SUMIFS(BD_REVIT!$H:$H,BD_REVIT!$C:$C,$A39,BD_REVIT!$F:$F,O$4)</f>
        <v>0</v>
      </c>
      <c r="P39" s="13" t="n">
        <f aca="false">SUMIFS(BD_REVIT!$H:$H,BD_REVIT!$C:$C,$A39,BD_REVIT!$F:$F,P$4)</f>
        <v>0</v>
      </c>
      <c r="Q39" s="13" t="n">
        <f aca="false">SUMIFS(BD_REVIT!$H:$H,BD_REVIT!$C:$C,$A39,BD_REVIT!$F:$F,Q$4)</f>
        <v>0</v>
      </c>
      <c r="R39" s="13" t="n">
        <f aca="false">SUMIFS(BD_REVIT!$H:$H,BD_REVIT!$C:$C,$A39,BD_REVIT!$F:$F,R$4)</f>
        <v>0</v>
      </c>
      <c r="S39" s="13" t="n">
        <f aca="false">SUMIFS(BD_REVIT!$H:$H,BD_REVIT!$C:$C,$A39,BD_REVIT!$F:$F,S$4)</f>
        <v>0</v>
      </c>
      <c r="T39" s="13" t="n">
        <f aca="false">SUMIFS(BD_REVIT!$H:$H,BD_REVIT!$C:$C,$A39,BD_REVIT!$F:$F,T$4)</f>
        <v>0</v>
      </c>
      <c r="U39" s="13" t="n">
        <f aca="false">SUMIFS(BD_REVIT!$H:$H,BD_REVIT!$C:$C,$A39,BD_REVIT!$F:$F,U$4)</f>
        <v>0</v>
      </c>
      <c r="V39" s="13" t="n">
        <f aca="false">SUMIFS(BD_REVIT!$H:$H,BD_REVIT!$C:$C,$A39,BD_REVIT!$F:$F,V$4)</f>
        <v>0</v>
      </c>
      <c r="W39" s="13" t="n">
        <f aca="false">SUMIFS(BD_REVIT!$H:$H,BD_REVIT!$C:$C,$A39,BD_REVIT!$F:$F,W$4)</f>
        <v>0</v>
      </c>
      <c r="X39" s="13" t="n">
        <f aca="false">SUMIFS(BD_REVIT!$H:$H,BD_REVIT!$C:$C,$A39,BD_REVIT!$F:$F,X$4)</f>
        <v>0</v>
      </c>
      <c r="Y39" s="13" t="n">
        <f aca="false">SUMIFS(BD_REVIT!$H:$H,BD_REVIT!$C:$C,$A39,BD_REVIT!$F:$F,Y$4)</f>
        <v>0</v>
      </c>
      <c r="Z39" s="52" t="n">
        <f aca="false">SUM(D39:Y39)</f>
        <v>0</v>
      </c>
      <c r="AA39" s="13" t="n">
        <f aca="false">NIVEL!D425</f>
        <v>0</v>
      </c>
      <c r="AB39" s="13" t="n">
        <f aca="false">ROUND(Z39-AA39,2)</f>
        <v>0</v>
      </c>
    </row>
    <row r="40" customFormat="false" ht="15" hidden="false" customHeight="false" outlineLevel="0" collapsed="false">
      <c r="A40" s="10" t="s">
        <v>754</v>
      </c>
      <c r="B40" s="51" t="s">
        <v>755</v>
      </c>
      <c r="C40" s="10" t="s">
        <v>61</v>
      </c>
      <c r="D40" s="13" t="n">
        <f aca="false">SUMIFS(BD_REVIT!$H:$H,BD_REVIT!$C:$C,$A40,BD_REVIT!$F:$F,D$4)</f>
        <v>0</v>
      </c>
      <c r="E40" s="13" t="n">
        <f aca="false">SUMIFS(BD_REVIT!$H:$H,BD_REVIT!$C:$C,$A40,BD_REVIT!$F:$F,E$4)</f>
        <v>0</v>
      </c>
      <c r="F40" s="13" t="n">
        <f aca="false">SUMIFS(BD_REVIT!$H:$H,BD_REVIT!$C:$C,$A40,BD_REVIT!$F:$F,F$4)</f>
        <v>0</v>
      </c>
      <c r="G40" s="13" t="n">
        <f aca="false">SUMIFS(BD_REVIT!$H:$H,BD_REVIT!$C:$C,$A40,BD_REVIT!$F:$F,G$4)</f>
        <v>0</v>
      </c>
      <c r="H40" s="13" t="n">
        <f aca="false">SUMIFS(BD_REVIT!$H:$H,BD_REVIT!$C:$C,$A40,BD_REVIT!$F:$F,H$4)</f>
        <v>0</v>
      </c>
      <c r="I40" s="13" t="n">
        <f aca="false">SUMIFS(BD_REVIT!$H:$H,BD_REVIT!$C:$C,$A40,BD_REVIT!$F:$F,I$4)</f>
        <v>0</v>
      </c>
      <c r="J40" s="13" t="n">
        <f aca="false">SUMIFS(BD_REVIT!$H:$H,BD_REVIT!$C:$C,$A40,BD_REVIT!$F:$F,J$4)</f>
        <v>0</v>
      </c>
      <c r="K40" s="13" t="n">
        <f aca="false">SUMIFS(BD_REVIT!$H:$H,BD_REVIT!$C:$C,$A40,BD_REVIT!$F:$F,K$4)</f>
        <v>2</v>
      </c>
      <c r="L40" s="13" t="n">
        <f aca="false">SUMIFS(BD_REVIT!$H:$H,BD_REVIT!$C:$C,$A40,BD_REVIT!$F:$F,L$4)</f>
        <v>2</v>
      </c>
      <c r="M40" s="13" t="n">
        <f aca="false">SUMIFS(BD_REVIT!$H:$H,BD_REVIT!$C:$C,$A40,BD_REVIT!$F:$F,M$4)</f>
        <v>2</v>
      </c>
      <c r="N40" s="13" t="n">
        <f aca="false">SUMIFS(BD_REVIT!$H:$H,BD_REVIT!$C:$C,$A40,BD_REVIT!$F:$F,N$4)</f>
        <v>2</v>
      </c>
      <c r="O40" s="13" t="n">
        <f aca="false">SUMIFS(BD_REVIT!$H:$H,BD_REVIT!$C:$C,$A40,BD_REVIT!$F:$F,O$4)</f>
        <v>2</v>
      </c>
      <c r="P40" s="13" t="n">
        <f aca="false">SUMIFS(BD_REVIT!$H:$H,BD_REVIT!$C:$C,$A40,BD_REVIT!$F:$F,P$4)</f>
        <v>2</v>
      </c>
      <c r="Q40" s="13" t="n">
        <f aca="false">SUMIFS(BD_REVIT!$H:$H,BD_REVIT!$C:$C,$A40,BD_REVIT!$F:$F,Q$4)</f>
        <v>2</v>
      </c>
      <c r="R40" s="13" t="n">
        <f aca="false">SUMIFS(BD_REVIT!$H:$H,BD_REVIT!$C:$C,$A40,BD_REVIT!$F:$F,R$4)</f>
        <v>2</v>
      </c>
      <c r="S40" s="13" t="n">
        <f aca="false">SUMIFS(BD_REVIT!$H:$H,BD_REVIT!$C:$C,$A40,BD_REVIT!$F:$F,S$4)</f>
        <v>2</v>
      </c>
      <c r="T40" s="13" t="n">
        <f aca="false">SUMIFS(BD_REVIT!$H:$H,BD_REVIT!$C:$C,$A40,BD_REVIT!$F:$F,T$4)</f>
        <v>2</v>
      </c>
      <c r="U40" s="13" t="n">
        <f aca="false">SUMIFS(BD_REVIT!$H:$H,BD_REVIT!$C:$C,$A40,BD_REVIT!$F:$F,U$4)</f>
        <v>2</v>
      </c>
      <c r="V40" s="13" t="n">
        <f aca="false">SUMIFS(BD_REVIT!$H:$H,BD_REVIT!$C:$C,$A40,BD_REVIT!$F:$F,V$4)</f>
        <v>2</v>
      </c>
      <c r="W40" s="13" t="n">
        <f aca="false">SUMIFS(BD_REVIT!$H:$H,BD_REVIT!$C:$C,$A40,BD_REVIT!$F:$F,W$4)</f>
        <v>2</v>
      </c>
      <c r="X40" s="13" t="n">
        <f aca="false">SUMIFS(BD_REVIT!$H:$H,BD_REVIT!$C:$C,$A40,BD_REVIT!$F:$F,X$4)</f>
        <v>0</v>
      </c>
      <c r="Y40" s="13" t="n">
        <f aca="false">SUMIFS(BD_REVIT!$H:$H,BD_REVIT!$C:$C,$A40,BD_REVIT!$F:$F,Y$4)</f>
        <v>0</v>
      </c>
      <c r="Z40" s="52" t="n">
        <f aca="false">SUM(D40:Y40)</f>
        <v>26</v>
      </c>
      <c r="AA40" s="13" t="n">
        <f aca="false">NIVEL!D426</f>
        <v>26</v>
      </c>
      <c r="AB40" s="13" t="n">
        <f aca="false">ROUND(Z40-AA40,2)</f>
        <v>0</v>
      </c>
    </row>
    <row r="41" customFormat="false" ht="15" hidden="false" customHeight="false" outlineLevel="0" collapsed="false">
      <c r="A41" s="10" t="s">
        <v>756</v>
      </c>
      <c r="B41" s="51" t="s">
        <v>757</v>
      </c>
      <c r="C41" s="10" t="s">
        <v>61</v>
      </c>
      <c r="D41" s="13" t="n">
        <f aca="false">SUMIFS(BD_REVIT!$H:$H,BD_REVIT!$C:$C,$A41,BD_REVIT!$F:$F,D$4)</f>
        <v>0</v>
      </c>
      <c r="E41" s="13" t="n">
        <f aca="false">SUMIFS(BD_REVIT!$H:$H,BD_REVIT!$C:$C,$A41,BD_REVIT!$F:$F,E$4)</f>
        <v>0</v>
      </c>
      <c r="F41" s="13" t="n">
        <f aca="false">SUMIFS(BD_REVIT!$H:$H,BD_REVIT!$C:$C,$A41,BD_REVIT!$F:$F,F$4)</f>
        <v>0</v>
      </c>
      <c r="G41" s="13" t="n">
        <f aca="false">SUMIFS(BD_REVIT!$H:$H,BD_REVIT!$C:$C,$A41,BD_REVIT!$F:$F,G$4)</f>
        <v>0</v>
      </c>
      <c r="H41" s="13" t="n">
        <f aca="false">SUMIFS(BD_REVIT!$H:$H,BD_REVIT!$C:$C,$A41,BD_REVIT!$F:$F,H$4)</f>
        <v>0</v>
      </c>
      <c r="I41" s="13" t="n">
        <f aca="false">SUMIFS(BD_REVIT!$H:$H,BD_REVIT!$C:$C,$A41,BD_REVIT!$F:$F,I$4)</f>
        <v>0</v>
      </c>
      <c r="J41" s="13" t="n">
        <f aca="false">SUMIFS(BD_REVIT!$H:$H,BD_REVIT!$C:$C,$A41,BD_REVIT!$F:$F,J$4)</f>
        <v>1</v>
      </c>
      <c r="K41" s="13" t="n">
        <f aca="false">SUMIFS(BD_REVIT!$H:$H,BD_REVIT!$C:$C,$A41,BD_REVIT!$F:$F,K$4)</f>
        <v>0</v>
      </c>
      <c r="L41" s="13" t="n">
        <f aca="false">SUMIFS(BD_REVIT!$H:$H,BD_REVIT!$C:$C,$A41,BD_REVIT!$F:$F,L$4)</f>
        <v>0</v>
      </c>
      <c r="M41" s="13" t="n">
        <f aca="false">SUMIFS(BD_REVIT!$H:$H,BD_REVIT!$C:$C,$A41,BD_REVIT!$F:$F,M$4)</f>
        <v>0</v>
      </c>
      <c r="N41" s="13" t="n">
        <f aca="false">SUMIFS(BD_REVIT!$H:$H,BD_REVIT!$C:$C,$A41,BD_REVIT!$F:$F,N$4)</f>
        <v>0</v>
      </c>
      <c r="O41" s="13" t="n">
        <f aca="false">SUMIFS(BD_REVIT!$H:$H,BD_REVIT!$C:$C,$A41,BD_REVIT!$F:$F,O$4)</f>
        <v>0</v>
      </c>
      <c r="P41" s="13" t="n">
        <f aca="false">SUMIFS(BD_REVIT!$H:$H,BD_REVIT!$C:$C,$A41,BD_REVIT!$F:$F,P$4)</f>
        <v>0</v>
      </c>
      <c r="Q41" s="13" t="n">
        <f aca="false">SUMIFS(BD_REVIT!$H:$H,BD_REVIT!$C:$C,$A41,BD_REVIT!$F:$F,Q$4)</f>
        <v>0</v>
      </c>
      <c r="R41" s="13" t="n">
        <f aca="false">SUMIFS(BD_REVIT!$H:$H,BD_REVIT!$C:$C,$A41,BD_REVIT!$F:$F,R$4)</f>
        <v>0</v>
      </c>
      <c r="S41" s="13" t="n">
        <f aca="false">SUMIFS(BD_REVIT!$H:$H,BD_REVIT!$C:$C,$A41,BD_REVIT!$F:$F,S$4)</f>
        <v>0</v>
      </c>
      <c r="T41" s="13" t="n">
        <f aca="false">SUMIFS(BD_REVIT!$H:$H,BD_REVIT!$C:$C,$A41,BD_REVIT!$F:$F,T$4)</f>
        <v>0</v>
      </c>
      <c r="U41" s="13" t="n">
        <f aca="false">SUMIFS(BD_REVIT!$H:$H,BD_REVIT!$C:$C,$A41,BD_REVIT!$F:$F,U$4)</f>
        <v>0</v>
      </c>
      <c r="V41" s="13" t="n">
        <f aca="false">SUMIFS(BD_REVIT!$H:$H,BD_REVIT!$C:$C,$A41,BD_REVIT!$F:$F,V$4)</f>
        <v>0</v>
      </c>
      <c r="W41" s="13" t="n">
        <f aca="false">SUMIFS(BD_REVIT!$H:$H,BD_REVIT!$C:$C,$A41,BD_REVIT!$F:$F,W$4)</f>
        <v>0</v>
      </c>
      <c r="X41" s="13" t="n">
        <f aca="false">SUMIFS(BD_REVIT!$H:$H,BD_REVIT!$C:$C,$A41,BD_REVIT!$F:$F,X$4)</f>
        <v>0</v>
      </c>
      <c r="Y41" s="13" t="n">
        <f aca="false">SUMIFS(BD_REVIT!$H:$H,BD_REVIT!$C:$C,$A41,BD_REVIT!$F:$F,Y$4)</f>
        <v>0</v>
      </c>
      <c r="Z41" s="52" t="n">
        <f aca="false">SUM(D41:Y41)</f>
        <v>1</v>
      </c>
      <c r="AA41" s="13" t="n">
        <f aca="false">NIVEL!D427</f>
        <v>1</v>
      </c>
      <c r="AB41" s="13" t="n">
        <f aca="false">ROUND(Z41-AA41,2)</f>
        <v>0</v>
      </c>
    </row>
    <row r="42" customFormat="false" ht="15" hidden="false" customHeight="false" outlineLevel="0" collapsed="false">
      <c r="A42" s="10" t="s">
        <v>759</v>
      </c>
      <c r="B42" s="51" t="s">
        <v>760</v>
      </c>
      <c r="C42" s="10" t="s">
        <v>75</v>
      </c>
      <c r="D42" s="13" t="n">
        <f aca="false">SUMIFS(BD_REVIT!$H:$H,BD_REVIT!$C:$C,$A42,BD_REVIT!$F:$F,D$4)</f>
        <v>0</v>
      </c>
      <c r="E42" s="13" t="n">
        <f aca="false">SUMIFS(BD_REVIT!$H:$H,BD_REVIT!$C:$C,$A42,BD_REVIT!$F:$F,E$4)</f>
        <v>0</v>
      </c>
      <c r="F42" s="13" t="n">
        <f aca="false">SUMIFS(BD_REVIT!$H:$H,BD_REVIT!$C:$C,$A42,BD_REVIT!$F:$F,F$4)</f>
        <v>0</v>
      </c>
      <c r="G42" s="13" t="n">
        <f aca="false">SUMIFS(BD_REVIT!$H:$H,BD_REVIT!$C:$C,$A42,BD_REVIT!$F:$F,G$4)</f>
        <v>0</v>
      </c>
      <c r="H42" s="13" t="n">
        <f aca="false">SUMIFS(BD_REVIT!$H:$H,BD_REVIT!$C:$C,$A42,BD_REVIT!$F:$F,H$4)</f>
        <v>0</v>
      </c>
      <c r="I42" s="13" t="n">
        <f aca="false">SUMIFS(BD_REVIT!$H:$H,BD_REVIT!$C:$C,$A42,BD_REVIT!$F:$F,I$4)</f>
        <v>0</v>
      </c>
      <c r="J42" s="13" t="n">
        <f aca="false">SUMIFS(BD_REVIT!$H:$H,BD_REVIT!$C:$C,$A42,BD_REVIT!$F:$F,J$4)</f>
        <v>0</v>
      </c>
      <c r="K42" s="13" t="n">
        <f aca="false">SUMIFS(BD_REVIT!$H:$H,BD_REVIT!$C:$C,$A42,BD_REVIT!$F:$F,K$4)</f>
        <v>0</v>
      </c>
      <c r="L42" s="13" t="n">
        <f aca="false">SUMIFS(BD_REVIT!$H:$H,BD_REVIT!$C:$C,$A42,BD_REVIT!$F:$F,L$4)</f>
        <v>0</v>
      </c>
      <c r="M42" s="13" t="n">
        <f aca="false">SUMIFS(BD_REVIT!$H:$H,BD_REVIT!$C:$C,$A42,BD_REVIT!$F:$F,M$4)</f>
        <v>0</v>
      </c>
      <c r="N42" s="13" t="n">
        <f aca="false">SUMIFS(BD_REVIT!$H:$H,BD_REVIT!$C:$C,$A42,BD_REVIT!$F:$F,N$4)</f>
        <v>0</v>
      </c>
      <c r="O42" s="13" t="n">
        <f aca="false">SUMIFS(BD_REVIT!$H:$H,BD_REVIT!$C:$C,$A42,BD_REVIT!$F:$F,O$4)</f>
        <v>0</v>
      </c>
      <c r="P42" s="13" t="n">
        <f aca="false">SUMIFS(BD_REVIT!$H:$H,BD_REVIT!$C:$C,$A42,BD_REVIT!$F:$F,P$4)</f>
        <v>0</v>
      </c>
      <c r="Q42" s="13" t="n">
        <f aca="false">SUMIFS(BD_REVIT!$H:$H,BD_REVIT!$C:$C,$A42,BD_REVIT!$F:$F,Q$4)</f>
        <v>0</v>
      </c>
      <c r="R42" s="13" t="n">
        <f aca="false">SUMIFS(BD_REVIT!$H:$H,BD_REVIT!$C:$C,$A42,BD_REVIT!$F:$F,R$4)</f>
        <v>0</v>
      </c>
      <c r="S42" s="13" t="n">
        <f aca="false">SUMIFS(BD_REVIT!$H:$H,BD_REVIT!$C:$C,$A42,BD_REVIT!$F:$F,S$4)</f>
        <v>0</v>
      </c>
      <c r="T42" s="13" t="n">
        <f aca="false">SUMIFS(BD_REVIT!$H:$H,BD_REVIT!$C:$C,$A42,BD_REVIT!$F:$F,T$4)</f>
        <v>0</v>
      </c>
      <c r="U42" s="13" t="n">
        <f aca="false">SUMIFS(BD_REVIT!$H:$H,BD_REVIT!$C:$C,$A42,BD_REVIT!$F:$F,U$4)</f>
        <v>0</v>
      </c>
      <c r="V42" s="13" t="n">
        <f aca="false">SUMIFS(BD_REVIT!$H:$H,BD_REVIT!$C:$C,$A42,BD_REVIT!$F:$F,V$4)</f>
        <v>0</v>
      </c>
      <c r="W42" s="13" t="n">
        <f aca="false">SUMIFS(BD_REVIT!$H:$H,BD_REVIT!$C:$C,$A42,BD_REVIT!$F:$F,W$4)</f>
        <v>0</v>
      </c>
      <c r="X42" s="13" t="n">
        <f aca="false">SUMIFS(BD_REVIT!$H:$H,BD_REVIT!$C:$C,$A42,BD_REVIT!$F:$F,X$4)</f>
        <v>0</v>
      </c>
      <c r="Y42" s="13" t="n">
        <f aca="false">SUMIFS(BD_REVIT!$H:$H,BD_REVIT!$C:$C,$A42,BD_REVIT!$F:$F,Y$4)</f>
        <v>0</v>
      </c>
      <c r="Z42" s="52" t="n">
        <f aca="false">SUM(D42:Y42)</f>
        <v>0</v>
      </c>
      <c r="AA42" s="13" t="n">
        <f aca="false">NIVEL!D429</f>
        <v>0</v>
      </c>
      <c r="AB42" s="13" t="n">
        <f aca="false">ROUND(Z42-AA42,2)</f>
        <v>0</v>
      </c>
    </row>
    <row r="43" customFormat="false" ht="15" hidden="false" customHeight="false" outlineLevel="0" collapsed="false">
      <c r="A43" s="10" t="s">
        <v>762</v>
      </c>
      <c r="B43" s="51" t="s">
        <v>763</v>
      </c>
      <c r="C43" s="10" t="s">
        <v>61</v>
      </c>
      <c r="D43" s="13" t="n">
        <f aca="false">SUMIFS(BD_REVIT!$H:$H,BD_REVIT!$C:$C,$A43,BD_REVIT!$F:$F,D$4)</f>
        <v>0</v>
      </c>
      <c r="E43" s="13" t="n">
        <f aca="false">SUMIFS(BD_REVIT!$H:$H,BD_REVIT!$C:$C,$A43,BD_REVIT!$F:$F,E$4)</f>
        <v>0</v>
      </c>
      <c r="F43" s="13" t="n">
        <f aca="false">SUMIFS(BD_REVIT!$H:$H,BD_REVIT!$C:$C,$A43,BD_REVIT!$F:$F,F$4)</f>
        <v>0</v>
      </c>
      <c r="G43" s="13" t="n">
        <f aca="false">SUMIFS(BD_REVIT!$H:$H,BD_REVIT!$C:$C,$A43,BD_REVIT!$F:$F,G$4)</f>
        <v>0</v>
      </c>
      <c r="H43" s="13" t="n">
        <f aca="false">SUMIFS(BD_REVIT!$H:$H,BD_REVIT!$C:$C,$A43,BD_REVIT!$F:$F,H$4)</f>
        <v>0</v>
      </c>
      <c r="I43" s="13" t="n">
        <f aca="false">SUMIFS(BD_REVIT!$H:$H,BD_REVIT!$C:$C,$A43,BD_REVIT!$F:$F,I$4)</f>
        <v>0</v>
      </c>
      <c r="J43" s="13" t="n">
        <f aca="false">SUMIFS(BD_REVIT!$H:$H,BD_REVIT!$C:$C,$A43,BD_REVIT!$F:$F,J$4)</f>
        <v>0</v>
      </c>
      <c r="K43" s="13" t="n">
        <f aca="false">SUMIFS(BD_REVIT!$H:$H,BD_REVIT!$C:$C,$A43,BD_REVIT!$F:$F,K$4)</f>
        <v>0</v>
      </c>
      <c r="L43" s="13" t="n">
        <f aca="false">SUMIFS(BD_REVIT!$H:$H,BD_REVIT!$C:$C,$A43,BD_REVIT!$F:$F,L$4)</f>
        <v>0</v>
      </c>
      <c r="M43" s="13" t="n">
        <f aca="false">SUMIFS(BD_REVIT!$H:$H,BD_REVIT!$C:$C,$A43,BD_REVIT!$F:$F,M$4)</f>
        <v>0</v>
      </c>
      <c r="N43" s="13" t="n">
        <f aca="false">SUMIFS(BD_REVIT!$H:$H,BD_REVIT!$C:$C,$A43,BD_REVIT!$F:$F,N$4)</f>
        <v>0</v>
      </c>
      <c r="O43" s="13" t="n">
        <f aca="false">SUMIFS(BD_REVIT!$H:$H,BD_REVIT!$C:$C,$A43,BD_REVIT!$F:$F,O$4)</f>
        <v>0</v>
      </c>
      <c r="P43" s="13" t="n">
        <f aca="false">SUMIFS(BD_REVIT!$H:$H,BD_REVIT!$C:$C,$A43,BD_REVIT!$F:$F,P$4)</f>
        <v>0</v>
      </c>
      <c r="Q43" s="13" t="n">
        <f aca="false">SUMIFS(BD_REVIT!$H:$H,BD_REVIT!$C:$C,$A43,BD_REVIT!$F:$F,Q$4)</f>
        <v>0</v>
      </c>
      <c r="R43" s="13" t="n">
        <f aca="false">SUMIFS(BD_REVIT!$H:$H,BD_REVIT!$C:$C,$A43,BD_REVIT!$F:$F,R$4)</f>
        <v>0</v>
      </c>
      <c r="S43" s="13" t="n">
        <f aca="false">SUMIFS(BD_REVIT!$H:$H,BD_REVIT!$C:$C,$A43,BD_REVIT!$F:$F,S$4)</f>
        <v>0</v>
      </c>
      <c r="T43" s="13" t="n">
        <f aca="false">SUMIFS(BD_REVIT!$H:$H,BD_REVIT!$C:$C,$A43,BD_REVIT!$F:$F,T$4)</f>
        <v>0</v>
      </c>
      <c r="U43" s="13" t="n">
        <f aca="false">SUMIFS(BD_REVIT!$H:$H,BD_REVIT!$C:$C,$A43,BD_REVIT!$F:$F,U$4)</f>
        <v>0</v>
      </c>
      <c r="V43" s="13" t="n">
        <f aca="false">SUMIFS(BD_REVIT!$H:$H,BD_REVIT!$C:$C,$A43,BD_REVIT!$F:$F,V$4)</f>
        <v>0</v>
      </c>
      <c r="W43" s="13" t="n">
        <f aca="false">SUMIFS(BD_REVIT!$H:$H,BD_REVIT!$C:$C,$A43,BD_REVIT!$F:$F,W$4)</f>
        <v>0</v>
      </c>
      <c r="X43" s="13" t="n">
        <f aca="false">SUMIFS(BD_REVIT!$H:$H,BD_REVIT!$C:$C,$A43,BD_REVIT!$F:$F,X$4)</f>
        <v>0</v>
      </c>
      <c r="Y43" s="13" t="n">
        <f aca="false">SUMIFS(BD_REVIT!$H:$H,BD_REVIT!$C:$C,$A43,BD_REVIT!$F:$F,Y$4)</f>
        <v>0</v>
      </c>
      <c r="Z43" s="52" t="n">
        <f aca="false">SUM(D43:Y43)</f>
        <v>0</v>
      </c>
      <c r="AA43" s="13" t="n">
        <f aca="false">NIVEL!D431</f>
        <v>0</v>
      </c>
      <c r="AB43" s="13" t="n">
        <f aca="false">ROUND(Z43-AA43,2)</f>
        <v>0</v>
      </c>
    </row>
    <row r="44" customFormat="false" ht="15" hidden="false" customHeight="false" outlineLevel="0" collapsed="false">
      <c r="A44" s="10" t="s">
        <v>765</v>
      </c>
      <c r="B44" s="51" t="s">
        <v>766</v>
      </c>
      <c r="C44" s="10" t="s">
        <v>75</v>
      </c>
      <c r="D44" s="13" t="n">
        <f aca="false">SUMIFS(BD_REVIT!$H:$H,BD_REVIT!$C:$C,$A44,BD_REVIT!$F:$F,D$4)</f>
        <v>0</v>
      </c>
      <c r="E44" s="13" t="n">
        <f aca="false">SUMIFS(BD_REVIT!$H:$H,BD_REVIT!$C:$C,$A44,BD_REVIT!$F:$F,E$4)</f>
        <v>0</v>
      </c>
      <c r="F44" s="13" t="n">
        <f aca="false">SUMIFS(BD_REVIT!$H:$H,BD_REVIT!$C:$C,$A44,BD_REVIT!$F:$F,F$4)</f>
        <v>0</v>
      </c>
      <c r="G44" s="13" t="n">
        <f aca="false">SUMIFS(BD_REVIT!$H:$H,BD_REVIT!$C:$C,$A44,BD_REVIT!$F:$F,G$4)</f>
        <v>0</v>
      </c>
      <c r="H44" s="13" t="n">
        <f aca="false">SUMIFS(BD_REVIT!$H:$H,BD_REVIT!$C:$C,$A44,BD_REVIT!$F:$F,H$4)</f>
        <v>0</v>
      </c>
      <c r="I44" s="13" t="n">
        <f aca="false">SUMIFS(BD_REVIT!$H:$H,BD_REVIT!$C:$C,$A44,BD_REVIT!$F:$F,I$4)</f>
        <v>0</v>
      </c>
      <c r="J44" s="13" t="n">
        <f aca="false">SUMIFS(BD_REVIT!$H:$H,BD_REVIT!$C:$C,$A44,BD_REVIT!$F:$F,J$4)</f>
        <v>0</v>
      </c>
      <c r="K44" s="13" t="n">
        <f aca="false">SUMIFS(BD_REVIT!$H:$H,BD_REVIT!$C:$C,$A44,BD_REVIT!$F:$F,K$4)</f>
        <v>0</v>
      </c>
      <c r="L44" s="13" t="n">
        <f aca="false">SUMIFS(BD_REVIT!$H:$H,BD_REVIT!$C:$C,$A44,BD_REVIT!$F:$F,L$4)</f>
        <v>0</v>
      </c>
      <c r="M44" s="13" t="n">
        <f aca="false">SUMIFS(BD_REVIT!$H:$H,BD_REVIT!$C:$C,$A44,BD_REVIT!$F:$F,M$4)</f>
        <v>0</v>
      </c>
      <c r="N44" s="13" t="n">
        <f aca="false">SUMIFS(BD_REVIT!$H:$H,BD_REVIT!$C:$C,$A44,BD_REVIT!$F:$F,N$4)</f>
        <v>0</v>
      </c>
      <c r="O44" s="13" t="n">
        <f aca="false">SUMIFS(BD_REVIT!$H:$H,BD_REVIT!$C:$C,$A44,BD_REVIT!$F:$F,O$4)</f>
        <v>0</v>
      </c>
      <c r="P44" s="13" t="n">
        <f aca="false">SUMIFS(BD_REVIT!$H:$H,BD_REVIT!$C:$C,$A44,BD_REVIT!$F:$F,P$4)</f>
        <v>0</v>
      </c>
      <c r="Q44" s="13" t="n">
        <f aca="false">SUMIFS(BD_REVIT!$H:$H,BD_REVIT!$C:$C,$A44,BD_REVIT!$F:$F,Q$4)</f>
        <v>0</v>
      </c>
      <c r="R44" s="13" t="n">
        <f aca="false">SUMIFS(BD_REVIT!$H:$H,BD_REVIT!$C:$C,$A44,BD_REVIT!$F:$F,R$4)</f>
        <v>0</v>
      </c>
      <c r="S44" s="13" t="n">
        <f aca="false">SUMIFS(BD_REVIT!$H:$H,BD_REVIT!$C:$C,$A44,BD_REVIT!$F:$F,S$4)</f>
        <v>0</v>
      </c>
      <c r="T44" s="13" t="n">
        <f aca="false">SUMIFS(BD_REVIT!$H:$H,BD_REVIT!$C:$C,$A44,BD_REVIT!$F:$F,T$4)</f>
        <v>0</v>
      </c>
      <c r="U44" s="13" t="n">
        <f aca="false">SUMIFS(BD_REVIT!$H:$H,BD_REVIT!$C:$C,$A44,BD_REVIT!$F:$F,U$4)</f>
        <v>0</v>
      </c>
      <c r="V44" s="13" t="n">
        <f aca="false">SUMIFS(BD_REVIT!$H:$H,BD_REVIT!$C:$C,$A44,BD_REVIT!$F:$F,V$4)</f>
        <v>0</v>
      </c>
      <c r="W44" s="13" t="n">
        <f aca="false">SUMIFS(BD_REVIT!$H:$H,BD_REVIT!$C:$C,$A44,BD_REVIT!$F:$F,W$4)</f>
        <v>0</v>
      </c>
      <c r="X44" s="13" t="n">
        <f aca="false">SUMIFS(BD_REVIT!$H:$H,BD_REVIT!$C:$C,$A44,BD_REVIT!$F:$F,X$4)</f>
        <v>0</v>
      </c>
      <c r="Y44" s="13" t="n">
        <f aca="false">SUMIFS(BD_REVIT!$H:$H,BD_REVIT!$C:$C,$A44,BD_REVIT!$F:$F,Y$4)</f>
        <v>0</v>
      </c>
      <c r="Z44" s="52" t="n">
        <f aca="false">SUM(D44:Y44)</f>
        <v>0</v>
      </c>
      <c r="AA44" s="13" t="n">
        <f aca="false">NIVEL!D433</f>
        <v>0</v>
      </c>
      <c r="AB44" s="13" t="n">
        <f aca="false">ROUND(Z44-AA44,2)</f>
        <v>0</v>
      </c>
    </row>
    <row r="45" customFormat="false" ht="15" hidden="false" customHeight="false" outlineLevel="0" collapsed="false">
      <c r="A45" s="10" t="s">
        <v>767</v>
      </c>
      <c r="B45" s="51" t="s">
        <v>768</v>
      </c>
      <c r="C45" s="10" t="s">
        <v>75</v>
      </c>
      <c r="D45" s="13" t="n">
        <f aca="false">SUMIFS(BD_REVIT!$H:$H,BD_REVIT!$C:$C,$A45,BD_REVIT!$F:$F,D$4)</f>
        <v>0</v>
      </c>
      <c r="E45" s="13" t="n">
        <f aca="false">SUMIFS(BD_REVIT!$H:$H,BD_REVIT!$C:$C,$A45,BD_REVIT!$F:$F,E$4)</f>
        <v>0</v>
      </c>
      <c r="F45" s="13" t="n">
        <f aca="false">SUMIFS(BD_REVIT!$H:$H,BD_REVIT!$C:$C,$A45,BD_REVIT!$F:$F,F$4)</f>
        <v>0</v>
      </c>
      <c r="G45" s="13" t="n">
        <f aca="false">SUMIFS(BD_REVIT!$H:$H,BD_REVIT!$C:$C,$A45,BD_REVIT!$F:$F,G$4)</f>
        <v>0</v>
      </c>
      <c r="H45" s="13" t="n">
        <f aca="false">SUMIFS(BD_REVIT!$H:$H,BD_REVIT!$C:$C,$A45,BD_REVIT!$F:$F,H$4)</f>
        <v>0</v>
      </c>
      <c r="I45" s="13" t="n">
        <f aca="false">SUMIFS(BD_REVIT!$H:$H,BD_REVIT!$C:$C,$A45,BD_REVIT!$F:$F,I$4)</f>
        <v>0</v>
      </c>
      <c r="J45" s="13" t="n">
        <f aca="false">SUMIFS(BD_REVIT!$H:$H,BD_REVIT!$C:$C,$A45,BD_REVIT!$F:$F,J$4)</f>
        <v>0</v>
      </c>
      <c r="K45" s="13" t="n">
        <f aca="false">SUMIFS(BD_REVIT!$H:$H,BD_REVIT!$C:$C,$A45,BD_REVIT!$F:$F,K$4)</f>
        <v>0</v>
      </c>
      <c r="L45" s="13" t="n">
        <f aca="false">SUMIFS(BD_REVIT!$H:$H,BD_REVIT!$C:$C,$A45,BD_REVIT!$F:$F,L$4)</f>
        <v>0</v>
      </c>
      <c r="M45" s="13" t="n">
        <f aca="false">SUMIFS(BD_REVIT!$H:$H,BD_REVIT!$C:$C,$A45,BD_REVIT!$F:$F,M$4)</f>
        <v>0</v>
      </c>
      <c r="N45" s="13" t="n">
        <f aca="false">SUMIFS(BD_REVIT!$H:$H,BD_REVIT!$C:$C,$A45,BD_REVIT!$F:$F,N$4)</f>
        <v>0</v>
      </c>
      <c r="O45" s="13" t="n">
        <f aca="false">SUMIFS(BD_REVIT!$H:$H,BD_REVIT!$C:$C,$A45,BD_REVIT!$F:$F,O$4)</f>
        <v>0</v>
      </c>
      <c r="P45" s="13" t="n">
        <f aca="false">SUMIFS(BD_REVIT!$H:$H,BD_REVIT!$C:$C,$A45,BD_REVIT!$F:$F,P$4)</f>
        <v>0</v>
      </c>
      <c r="Q45" s="13" t="n">
        <f aca="false">SUMIFS(BD_REVIT!$H:$H,BD_REVIT!$C:$C,$A45,BD_REVIT!$F:$F,Q$4)</f>
        <v>0</v>
      </c>
      <c r="R45" s="13" t="n">
        <f aca="false">SUMIFS(BD_REVIT!$H:$H,BD_REVIT!$C:$C,$A45,BD_REVIT!$F:$F,R$4)</f>
        <v>0</v>
      </c>
      <c r="S45" s="13" t="n">
        <f aca="false">SUMIFS(BD_REVIT!$H:$H,BD_REVIT!$C:$C,$A45,BD_REVIT!$F:$F,S$4)</f>
        <v>0</v>
      </c>
      <c r="T45" s="13" t="n">
        <f aca="false">SUMIFS(BD_REVIT!$H:$H,BD_REVIT!$C:$C,$A45,BD_REVIT!$F:$F,T$4)</f>
        <v>0</v>
      </c>
      <c r="U45" s="13" t="n">
        <f aca="false">SUMIFS(BD_REVIT!$H:$H,BD_REVIT!$C:$C,$A45,BD_REVIT!$F:$F,U$4)</f>
        <v>0</v>
      </c>
      <c r="V45" s="13" t="n">
        <f aca="false">SUMIFS(BD_REVIT!$H:$H,BD_REVIT!$C:$C,$A45,BD_REVIT!$F:$F,V$4)</f>
        <v>0</v>
      </c>
      <c r="W45" s="13" t="n">
        <f aca="false">SUMIFS(BD_REVIT!$H:$H,BD_REVIT!$C:$C,$A45,BD_REVIT!$F:$F,W$4)</f>
        <v>0</v>
      </c>
      <c r="X45" s="13" t="n">
        <f aca="false">SUMIFS(BD_REVIT!$H:$H,BD_REVIT!$C:$C,$A45,BD_REVIT!$F:$F,X$4)</f>
        <v>0</v>
      </c>
      <c r="Y45" s="13" t="n">
        <f aca="false">SUMIFS(BD_REVIT!$H:$H,BD_REVIT!$C:$C,$A45,BD_REVIT!$F:$F,Y$4)</f>
        <v>0</v>
      </c>
      <c r="Z45" s="52" t="n">
        <f aca="false">SUM(D45:Y45)</f>
        <v>0</v>
      </c>
      <c r="AA45" s="13" t="n">
        <f aca="false">NIVEL!D434</f>
        <v>0</v>
      </c>
      <c r="AB45" s="13" t="n">
        <f aca="false">ROUND(Z45-AA45,2)</f>
        <v>0</v>
      </c>
    </row>
    <row r="46" customFormat="false" ht="15" hidden="false" customHeight="false" outlineLevel="0" collapsed="false">
      <c r="A46" s="10" t="s">
        <v>769</v>
      </c>
      <c r="B46" s="51" t="s">
        <v>401</v>
      </c>
      <c r="C46" s="10" t="s">
        <v>61</v>
      </c>
      <c r="D46" s="13" t="n">
        <f aca="false">SUMIFS(BD_REVIT!$H:$H,BD_REVIT!$C:$C,$A46,BD_REVIT!$F:$F,D$4)</f>
        <v>0</v>
      </c>
      <c r="E46" s="13" t="n">
        <f aca="false">SUMIFS(BD_REVIT!$H:$H,BD_REVIT!$C:$C,$A46,BD_REVIT!$F:$F,E$4)</f>
        <v>0</v>
      </c>
      <c r="F46" s="13" t="n">
        <f aca="false">SUMIFS(BD_REVIT!$H:$H,BD_REVIT!$C:$C,$A46,BD_REVIT!$F:$F,F$4)</f>
        <v>0</v>
      </c>
      <c r="G46" s="13" t="n">
        <f aca="false">SUMIFS(BD_REVIT!$H:$H,BD_REVIT!$C:$C,$A46,BD_REVIT!$F:$F,G$4)</f>
        <v>0</v>
      </c>
      <c r="H46" s="13" t="n">
        <f aca="false">SUMIFS(BD_REVIT!$H:$H,BD_REVIT!$C:$C,$A46,BD_REVIT!$F:$F,H$4)</f>
        <v>0</v>
      </c>
      <c r="I46" s="13" t="n">
        <f aca="false">SUMIFS(BD_REVIT!$H:$H,BD_REVIT!$C:$C,$A46,BD_REVIT!$F:$F,I$4)</f>
        <v>0</v>
      </c>
      <c r="J46" s="13" t="n">
        <f aca="false">SUMIFS(BD_REVIT!$H:$H,BD_REVIT!$C:$C,$A46,BD_REVIT!$F:$F,J$4)</f>
        <v>0</v>
      </c>
      <c r="K46" s="13" t="n">
        <f aca="false">SUMIFS(BD_REVIT!$H:$H,BD_REVIT!$C:$C,$A46,BD_REVIT!$F:$F,K$4)</f>
        <v>0</v>
      </c>
      <c r="L46" s="13" t="n">
        <f aca="false">SUMIFS(BD_REVIT!$H:$H,BD_REVIT!$C:$C,$A46,BD_REVIT!$F:$F,L$4)</f>
        <v>0</v>
      </c>
      <c r="M46" s="13" t="n">
        <f aca="false">SUMIFS(BD_REVIT!$H:$H,BD_REVIT!$C:$C,$A46,BD_REVIT!$F:$F,M$4)</f>
        <v>0</v>
      </c>
      <c r="N46" s="13" t="n">
        <f aca="false">SUMIFS(BD_REVIT!$H:$H,BD_REVIT!$C:$C,$A46,BD_REVIT!$F:$F,N$4)</f>
        <v>0</v>
      </c>
      <c r="O46" s="13" t="n">
        <f aca="false">SUMIFS(BD_REVIT!$H:$H,BD_REVIT!$C:$C,$A46,BD_REVIT!$F:$F,O$4)</f>
        <v>0</v>
      </c>
      <c r="P46" s="13" t="n">
        <f aca="false">SUMIFS(BD_REVIT!$H:$H,BD_REVIT!$C:$C,$A46,BD_REVIT!$F:$F,P$4)</f>
        <v>0</v>
      </c>
      <c r="Q46" s="13" t="n">
        <f aca="false">SUMIFS(BD_REVIT!$H:$H,BD_REVIT!$C:$C,$A46,BD_REVIT!$F:$F,Q$4)</f>
        <v>0</v>
      </c>
      <c r="R46" s="13" t="n">
        <f aca="false">SUMIFS(BD_REVIT!$H:$H,BD_REVIT!$C:$C,$A46,BD_REVIT!$F:$F,R$4)</f>
        <v>0</v>
      </c>
      <c r="S46" s="13" t="n">
        <f aca="false">SUMIFS(BD_REVIT!$H:$H,BD_REVIT!$C:$C,$A46,BD_REVIT!$F:$F,S$4)</f>
        <v>0</v>
      </c>
      <c r="T46" s="13" t="n">
        <f aca="false">SUMIFS(BD_REVIT!$H:$H,BD_REVIT!$C:$C,$A46,BD_REVIT!$F:$F,T$4)</f>
        <v>0</v>
      </c>
      <c r="U46" s="13" t="n">
        <f aca="false">SUMIFS(BD_REVIT!$H:$H,BD_REVIT!$C:$C,$A46,BD_REVIT!$F:$F,U$4)</f>
        <v>0</v>
      </c>
      <c r="V46" s="13" t="n">
        <f aca="false">SUMIFS(BD_REVIT!$H:$H,BD_REVIT!$C:$C,$A46,BD_REVIT!$F:$F,V$4)</f>
        <v>0</v>
      </c>
      <c r="W46" s="13" t="n">
        <f aca="false">SUMIFS(BD_REVIT!$H:$H,BD_REVIT!$C:$C,$A46,BD_REVIT!$F:$F,W$4)</f>
        <v>0</v>
      </c>
      <c r="X46" s="13" t="n">
        <f aca="false">SUMIFS(BD_REVIT!$H:$H,BD_REVIT!$C:$C,$A46,BD_REVIT!$F:$F,X$4)</f>
        <v>0</v>
      </c>
      <c r="Y46" s="13" t="n">
        <f aca="false">SUMIFS(BD_REVIT!$H:$H,BD_REVIT!$C:$C,$A46,BD_REVIT!$F:$F,Y$4)</f>
        <v>0</v>
      </c>
      <c r="Z46" s="52" t="n">
        <f aca="false">SUM(D46:Y46)</f>
        <v>0</v>
      </c>
      <c r="AA46" s="13" t="n">
        <f aca="false">NIVEL!D435</f>
        <v>0</v>
      </c>
      <c r="AB46" s="13" t="n">
        <f aca="false">ROUND(Z46-AA46,2)</f>
        <v>0</v>
      </c>
    </row>
    <row r="47" customFormat="false" ht="15" hidden="false" customHeight="false" outlineLevel="0" collapsed="false">
      <c r="A47" s="10" t="s">
        <v>770</v>
      </c>
      <c r="B47" s="51" t="s">
        <v>98</v>
      </c>
      <c r="C47" s="10" t="s">
        <v>61</v>
      </c>
      <c r="D47" s="13" t="n">
        <f aca="false">SUMIFS(BD_REVIT!$H:$H,BD_REVIT!$C:$C,$A47,BD_REVIT!$F:$F,D$4)</f>
        <v>0</v>
      </c>
      <c r="E47" s="13" t="n">
        <f aca="false">SUMIFS(BD_REVIT!$H:$H,BD_REVIT!$C:$C,$A47,BD_REVIT!$F:$F,E$4)</f>
        <v>0</v>
      </c>
      <c r="F47" s="13" t="n">
        <f aca="false">SUMIFS(BD_REVIT!$H:$H,BD_REVIT!$C:$C,$A47,BD_REVIT!$F:$F,F$4)</f>
        <v>0</v>
      </c>
      <c r="G47" s="13" t="n">
        <f aca="false">SUMIFS(BD_REVIT!$H:$H,BD_REVIT!$C:$C,$A47,BD_REVIT!$F:$F,G$4)</f>
        <v>0</v>
      </c>
      <c r="H47" s="13" t="n">
        <f aca="false">SUMIFS(BD_REVIT!$H:$H,BD_REVIT!$C:$C,$A47,BD_REVIT!$F:$F,H$4)</f>
        <v>0</v>
      </c>
      <c r="I47" s="13" t="n">
        <f aca="false">SUMIFS(BD_REVIT!$H:$H,BD_REVIT!$C:$C,$A47,BD_REVIT!$F:$F,I$4)</f>
        <v>0</v>
      </c>
      <c r="J47" s="13" t="n">
        <f aca="false">SUMIFS(BD_REVIT!$H:$H,BD_REVIT!$C:$C,$A47,BD_REVIT!$F:$F,J$4)</f>
        <v>0</v>
      </c>
      <c r="K47" s="13" t="n">
        <f aca="false">SUMIFS(BD_REVIT!$H:$H,BD_REVIT!$C:$C,$A47,BD_REVIT!$F:$F,K$4)</f>
        <v>0</v>
      </c>
      <c r="L47" s="13" t="n">
        <f aca="false">SUMIFS(BD_REVIT!$H:$H,BD_REVIT!$C:$C,$A47,BD_REVIT!$F:$F,L$4)</f>
        <v>0</v>
      </c>
      <c r="M47" s="13" t="n">
        <f aca="false">SUMIFS(BD_REVIT!$H:$H,BD_REVIT!$C:$C,$A47,BD_REVIT!$F:$F,M$4)</f>
        <v>0</v>
      </c>
      <c r="N47" s="13" t="n">
        <f aca="false">SUMIFS(BD_REVIT!$H:$H,BD_REVIT!$C:$C,$A47,BD_REVIT!$F:$F,N$4)</f>
        <v>0</v>
      </c>
      <c r="O47" s="13" t="n">
        <f aca="false">SUMIFS(BD_REVIT!$H:$H,BD_REVIT!$C:$C,$A47,BD_REVIT!$F:$F,O$4)</f>
        <v>0</v>
      </c>
      <c r="P47" s="13" t="n">
        <f aca="false">SUMIFS(BD_REVIT!$H:$H,BD_REVIT!$C:$C,$A47,BD_REVIT!$F:$F,P$4)</f>
        <v>0</v>
      </c>
      <c r="Q47" s="13" t="n">
        <f aca="false">SUMIFS(BD_REVIT!$H:$H,BD_REVIT!$C:$C,$A47,BD_REVIT!$F:$F,Q$4)</f>
        <v>0</v>
      </c>
      <c r="R47" s="13" t="n">
        <f aca="false">SUMIFS(BD_REVIT!$H:$H,BD_REVIT!$C:$C,$A47,BD_REVIT!$F:$F,R$4)</f>
        <v>0</v>
      </c>
      <c r="S47" s="13" t="n">
        <f aca="false">SUMIFS(BD_REVIT!$H:$H,BD_REVIT!$C:$C,$A47,BD_REVIT!$F:$F,S$4)</f>
        <v>0</v>
      </c>
      <c r="T47" s="13" t="n">
        <f aca="false">SUMIFS(BD_REVIT!$H:$H,BD_REVIT!$C:$C,$A47,BD_REVIT!$F:$F,T$4)</f>
        <v>0</v>
      </c>
      <c r="U47" s="13" t="n">
        <f aca="false">SUMIFS(BD_REVIT!$H:$H,BD_REVIT!$C:$C,$A47,BD_REVIT!$F:$F,U$4)</f>
        <v>0</v>
      </c>
      <c r="V47" s="13" t="n">
        <f aca="false">SUMIFS(BD_REVIT!$H:$H,BD_REVIT!$C:$C,$A47,BD_REVIT!$F:$F,V$4)</f>
        <v>0</v>
      </c>
      <c r="W47" s="13" t="n">
        <f aca="false">SUMIFS(BD_REVIT!$H:$H,BD_REVIT!$C:$C,$A47,BD_REVIT!$F:$F,W$4)</f>
        <v>0</v>
      </c>
      <c r="X47" s="13" t="n">
        <f aca="false">SUMIFS(BD_REVIT!$H:$H,BD_REVIT!$C:$C,$A47,BD_REVIT!$F:$F,X$4)</f>
        <v>0</v>
      </c>
      <c r="Y47" s="13" t="n">
        <f aca="false">SUMIFS(BD_REVIT!$H:$H,BD_REVIT!$C:$C,$A47,BD_REVIT!$F:$F,Y$4)</f>
        <v>0</v>
      </c>
      <c r="Z47" s="52" t="n">
        <f aca="false">SUM(D47:Y47)</f>
        <v>0</v>
      </c>
      <c r="AA47" s="13" t="n">
        <f aca="false">NIVEL!D436</f>
        <v>0</v>
      </c>
      <c r="AB47" s="13" t="n">
        <f aca="false">ROUND(Z47-AA47,2)</f>
        <v>0</v>
      </c>
    </row>
    <row r="48" customFormat="false" ht="15" hidden="false" customHeight="false" outlineLevel="0" collapsed="false">
      <c r="A48" s="10" t="s">
        <v>771</v>
      </c>
      <c r="B48" s="51" t="s">
        <v>772</v>
      </c>
      <c r="C48" s="10" t="s">
        <v>773</v>
      </c>
      <c r="D48" s="13" t="n">
        <f aca="false">SUMIFS(BD_REVIT!$H:$H,BD_REVIT!$C:$C,$A48,BD_REVIT!$F:$F,D$4)</f>
        <v>0</v>
      </c>
      <c r="E48" s="13" t="n">
        <f aca="false">SUMIFS(BD_REVIT!$H:$H,BD_REVIT!$C:$C,$A48,BD_REVIT!$F:$F,E$4)</f>
        <v>0</v>
      </c>
      <c r="F48" s="13" t="n">
        <f aca="false">SUMIFS(BD_REVIT!$H:$H,BD_REVIT!$C:$C,$A48,BD_REVIT!$F:$F,F$4)</f>
        <v>0</v>
      </c>
      <c r="G48" s="13" t="n">
        <f aca="false">SUMIFS(BD_REVIT!$H:$H,BD_REVIT!$C:$C,$A48,BD_REVIT!$F:$F,G$4)</f>
        <v>0</v>
      </c>
      <c r="H48" s="13" t="n">
        <f aca="false">SUMIFS(BD_REVIT!$H:$H,BD_REVIT!$C:$C,$A48,BD_REVIT!$F:$F,H$4)</f>
        <v>0</v>
      </c>
      <c r="I48" s="13" t="n">
        <f aca="false">SUMIFS(BD_REVIT!$H:$H,BD_REVIT!$C:$C,$A48,BD_REVIT!$F:$F,I$4)</f>
        <v>0</v>
      </c>
      <c r="J48" s="13" t="n">
        <f aca="false">SUMIFS(BD_REVIT!$H:$H,BD_REVIT!$C:$C,$A48,BD_REVIT!$F:$F,J$4)</f>
        <v>0</v>
      </c>
      <c r="K48" s="13" t="n">
        <f aca="false">SUMIFS(BD_REVIT!$H:$H,BD_REVIT!$C:$C,$A48,BD_REVIT!$F:$F,K$4)</f>
        <v>0</v>
      </c>
      <c r="L48" s="13" t="n">
        <f aca="false">SUMIFS(BD_REVIT!$H:$H,BD_REVIT!$C:$C,$A48,BD_REVIT!$F:$F,L$4)</f>
        <v>0</v>
      </c>
      <c r="M48" s="13" t="n">
        <f aca="false">SUMIFS(BD_REVIT!$H:$H,BD_REVIT!$C:$C,$A48,BD_REVIT!$F:$F,M$4)</f>
        <v>0</v>
      </c>
      <c r="N48" s="13" t="n">
        <f aca="false">SUMIFS(BD_REVIT!$H:$H,BD_REVIT!$C:$C,$A48,BD_REVIT!$F:$F,N$4)</f>
        <v>0</v>
      </c>
      <c r="O48" s="13" t="n">
        <f aca="false">SUMIFS(BD_REVIT!$H:$H,BD_REVIT!$C:$C,$A48,BD_REVIT!$F:$F,O$4)</f>
        <v>0</v>
      </c>
      <c r="P48" s="13" t="n">
        <f aca="false">SUMIFS(BD_REVIT!$H:$H,BD_REVIT!$C:$C,$A48,BD_REVIT!$F:$F,P$4)</f>
        <v>0</v>
      </c>
      <c r="Q48" s="13" t="n">
        <f aca="false">SUMIFS(BD_REVIT!$H:$H,BD_REVIT!$C:$C,$A48,BD_REVIT!$F:$F,Q$4)</f>
        <v>0</v>
      </c>
      <c r="R48" s="13" t="n">
        <f aca="false">SUMIFS(BD_REVIT!$H:$H,BD_REVIT!$C:$C,$A48,BD_REVIT!$F:$F,R$4)</f>
        <v>0</v>
      </c>
      <c r="S48" s="13" t="n">
        <f aca="false">SUMIFS(BD_REVIT!$H:$H,BD_REVIT!$C:$C,$A48,BD_REVIT!$F:$F,S$4)</f>
        <v>0</v>
      </c>
      <c r="T48" s="13" t="n">
        <f aca="false">SUMIFS(BD_REVIT!$H:$H,BD_REVIT!$C:$C,$A48,BD_REVIT!$F:$F,T$4)</f>
        <v>0</v>
      </c>
      <c r="U48" s="13" t="n">
        <f aca="false">SUMIFS(BD_REVIT!$H:$H,BD_REVIT!$C:$C,$A48,BD_REVIT!$F:$F,U$4)</f>
        <v>0</v>
      </c>
      <c r="V48" s="13" t="n">
        <f aca="false">SUMIFS(BD_REVIT!$H:$H,BD_REVIT!$C:$C,$A48,BD_REVIT!$F:$F,V$4)</f>
        <v>0</v>
      </c>
      <c r="W48" s="13" t="n">
        <f aca="false">SUMIFS(BD_REVIT!$H:$H,BD_REVIT!$C:$C,$A48,BD_REVIT!$F:$F,W$4)</f>
        <v>0</v>
      </c>
      <c r="X48" s="13" t="n">
        <f aca="false">SUMIFS(BD_REVIT!$H:$H,BD_REVIT!$C:$C,$A48,BD_REVIT!$F:$F,X$4)</f>
        <v>0</v>
      </c>
      <c r="Y48" s="13" t="n">
        <f aca="false">SUMIFS(BD_REVIT!$H:$H,BD_REVIT!$C:$C,$A48,BD_REVIT!$F:$F,Y$4)</f>
        <v>0</v>
      </c>
      <c r="Z48" s="52" t="n">
        <f aca="false">SUM(D48:Y48)</f>
        <v>0</v>
      </c>
      <c r="AA48" s="13" t="n">
        <f aca="false">NIVEL!D437</f>
        <v>0</v>
      </c>
      <c r="AB48" s="13" t="n">
        <f aca="false">ROUND(Z48-AA48,2)</f>
        <v>0</v>
      </c>
    </row>
    <row r="49" customFormat="false" ht="15" hidden="false" customHeight="false" outlineLevel="0" collapsed="false">
      <c r="A49" s="10" t="s">
        <v>774</v>
      </c>
      <c r="B49" s="51" t="s">
        <v>775</v>
      </c>
      <c r="C49" s="10" t="s">
        <v>773</v>
      </c>
      <c r="D49" s="13" t="n">
        <f aca="false">SUMIFS(BD_REVIT!$H:$H,BD_REVIT!$C:$C,$A49,BD_REVIT!$F:$F,D$4)</f>
        <v>0</v>
      </c>
      <c r="E49" s="13" t="n">
        <f aca="false">SUMIFS(BD_REVIT!$H:$H,BD_REVIT!$C:$C,$A49,BD_REVIT!$F:$F,E$4)</f>
        <v>0</v>
      </c>
      <c r="F49" s="13" t="n">
        <f aca="false">SUMIFS(BD_REVIT!$H:$H,BD_REVIT!$C:$C,$A49,BD_REVIT!$F:$F,F$4)</f>
        <v>0</v>
      </c>
      <c r="G49" s="13" t="n">
        <f aca="false">SUMIFS(BD_REVIT!$H:$H,BD_REVIT!$C:$C,$A49,BD_REVIT!$F:$F,G$4)</f>
        <v>0</v>
      </c>
      <c r="H49" s="13" t="n">
        <f aca="false">SUMIFS(BD_REVIT!$H:$H,BD_REVIT!$C:$C,$A49,BD_REVIT!$F:$F,H$4)</f>
        <v>0</v>
      </c>
      <c r="I49" s="13" t="n">
        <f aca="false">SUMIFS(BD_REVIT!$H:$H,BD_REVIT!$C:$C,$A49,BD_REVIT!$F:$F,I$4)</f>
        <v>0</v>
      </c>
      <c r="J49" s="13" t="n">
        <f aca="false">SUMIFS(BD_REVIT!$H:$H,BD_REVIT!$C:$C,$A49,BD_REVIT!$F:$F,J$4)</f>
        <v>0</v>
      </c>
      <c r="K49" s="13" t="n">
        <f aca="false">SUMIFS(BD_REVIT!$H:$H,BD_REVIT!$C:$C,$A49,BD_REVIT!$F:$F,K$4)</f>
        <v>0</v>
      </c>
      <c r="L49" s="13" t="n">
        <f aca="false">SUMIFS(BD_REVIT!$H:$H,BD_REVIT!$C:$C,$A49,BD_REVIT!$F:$F,L$4)</f>
        <v>0</v>
      </c>
      <c r="M49" s="13" t="n">
        <f aca="false">SUMIFS(BD_REVIT!$H:$H,BD_REVIT!$C:$C,$A49,BD_REVIT!$F:$F,M$4)</f>
        <v>0</v>
      </c>
      <c r="N49" s="13" t="n">
        <f aca="false">SUMIFS(BD_REVIT!$H:$H,BD_REVIT!$C:$C,$A49,BD_REVIT!$F:$F,N$4)</f>
        <v>0</v>
      </c>
      <c r="O49" s="13" t="n">
        <f aca="false">SUMIFS(BD_REVIT!$H:$H,BD_REVIT!$C:$C,$A49,BD_REVIT!$F:$F,O$4)</f>
        <v>0</v>
      </c>
      <c r="P49" s="13" t="n">
        <f aca="false">SUMIFS(BD_REVIT!$H:$H,BD_REVIT!$C:$C,$A49,BD_REVIT!$F:$F,P$4)</f>
        <v>0</v>
      </c>
      <c r="Q49" s="13" t="n">
        <f aca="false">SUMIFS(BD_REVIT!$H:$H,BD_REVIT!$C:$C,$A49,BD_REVIT!$F:$F,Q$4)</f>
        <v>0</v>
      </c>
      <c r="R49" s="13" t="n">
        <f aca="false">SUMIFS(BD_REVIT!$H:$H,BD_REVIT!$C:$C,$A49,BD_REVIT!$F:$F,R$4)</f>
        <v>0</v>
      </c>
      <c r="S49" s="13" t="n">
        <f aca="false">SUMIFS(BD_REVIT!$H:$H,BD_REVIT!$C:$C,$A49,BD_REVIT!$F:$F,S$4)</f>
        <v>0</v>
      </c>
      <c r="T49" s="13" t="n">
        <f aca="false">SUMIFS(BD_REVIT!$H:$H,BD_REVIT!$C:$C,$A49,BD_REVIT!$F:$F,T$4)</f>
        <v>0</v>
      </c>
      <c r="U49" s="13" t="n">
        <f aca="false">SUMIFS(BD_REVIT!$H:$H,BD_REVIT!$C:$C,$A49,BD_REVIT!$F:$F,U$4)</f>
        <v>0</v>
      </c>
      <c r="V49" s="13" t="n">
        <f aca="false">SUMIFS(BD_REVIT!$H:$H,BD_REVIT!$C:$C,$A49,BD_REVIT!$F:$F,V$4)</f>
        <v>0</v>
      </c>
      <c r="W49" s="13" t="n">
        <f aca="false">SUMIFS(BD_REVIT!$H:$H,BD_REVIT!$C:$C,$A49,BD_REVIT!$F:$F,W$4)</f>
        <v>0</v>
      </c>
      <c r="X49" s="13" t="n">
        <f aca="false">SUMIFS(BD_REVIT!$H:$H,BD_REVIT!$C:$C,$A49,BD_REVIT!$F:$F,X$4)</f>
        <v>0</v>
      </c>
      <c r="Y49" s="13" t="n">
        <f aca="false">SUMIFS(BD_REVIT!$H:$H,BD_REVIT!$C:$C,$A49,BD_REVIT!$F:$F,Y$4)</f>
        <v>0</v>
      </c>
      <c r="Z49" s="52" t="n">
        <f aca="false">SUM(D49:Y49)</f>
        <v>0</v>
      </c>
      <c r="AA49" s="13" t="n">
        <f aca="false">NIVEL!D438</f>
        <v>0</v>
      </c>
      <c r="AB49" s="13" t="n">
        <f aca="false">ROUND(Z49-AA49,2)</f>
        <v>0</v>
      </c>
    </row>
    <row r="50" customFormat="false" ht="15" hidden="false" customHeight="false" outlineLevel="0" collapsed="false">
      <c r="A50" s="10" t="s">
        <v>777</v>
      </c>
      <c r="B50" s="51" t="s">
        <v>778</v>
      </c>
      <c r="C50" s="10" t="s">
        <v>61</v>
      </c>
      <c r="D50" s="13" t="n">
        <f aca="false">SUMIFS(BD_REVIT!$H:$H,BD_REVIT!$C:$C,$A50,BD_REVIT!$F:$F,D$4)</f>
        <v>0</v>
      </c>
      <c r="E50" s="13" t="n">
        <f aca="false">SUMIFS(BD_REVIT!$H:$H,BD_REVIT!$C:$C,$A50,BD_REVIT!$F:$F,E$4)</f>
        <v>0</v>
      </c>
      <c r="F50" s="13" t="n">
        <f aca="false">SUMIFS(BD_REVIT!$H:$H,BD_REVIT!$C:$C,$A50,BD_REVIT!$F:$F,F$4)</f>
        <v>1</v>
      </c>
      <c r="G50" s="13" t="n">
        <f aca="false">SUMIFS(BD_REVIT!$H:$H,BD_REVIT!$C:$C,$A50,BD_REVIT!$F:$F,G$4)</f>
        <v>1</v>
      </c>
      <c r="H50" s="13" t="n">
        <f aca="false">SUMIFS(BD_REVIT!$H:$H,BD_REVIT!$C:$C,$A50,BD_REVIT!$F:$F,H$4)</f>
        <v>1</v>
      </c>
      <c r="I50" s="13" t="n">
        <f aca="false">SUMIFS(BD_REVIT!$H:$H,BD_REVIT!$C:$C,$A50,BD_REVIT!$F:$F,I$4)</f>
        <v>1</v>
      </c>
      <c r="J50" s="13" t="n">
        <f aca="false">SUMIFS(BD_REVIT!$H:$H,BD_REVIT!$C:$C,$A50,BD_REVIT!$F:$F,J$4)</f>
        <v>2</v>
      </c>
      <c r="K50" s="13" t="n">
        <f aca="false">SUMIFS(BD_REVIT!$H:$H,BD_REVIT!$C:$C,$A50,BD_REVIT!$F:$F,K$4)</f>
        <v>1</v>
      </c>
      <c r="L50" s="13" t="n">
        <f aca="false">SUMIFS(BD_REVIT!$H:$H,BD_REVIT!$C:$C,$A50,BD_REVIT!$F:$F,L$4)</f>
        <v>0</v>
      </c>
      <c r="M50" s="13" t="n">
        <f aca="false">SUMIFS(BD_REVIT!$H:$H,BD_REVIT!$C:$C,$A50,BD_REVIT!$F:$F,M$4)</f>
        <v>0</v>
      </c>
      <c r="N50" s="13" t="n">
        <f aca="false">SUMIFS(BD_REVIT!$H:$H,BD_REVIT!$C:$C,$A50,BD_REVIT!$F:$F,N$4)</f>
        <v>0</v>
      </c>
      <c r="O50" s="13" t="n">
        <f aca="false">SUMIFS(BD_REVIT!$H:$H,BD_REVIT!$C:$C,$A50,BD_REVIT!$F:$F,O$4)</f>
        <v>0</v>
      </c>
      <c r="P50" s="13" t="n">
        <f aca="false">SUMIFS(BD_REVIT!$H:$H,BD_REVIT!$C:$C,$A50,BD_REVIT!$F:$F,P$4)</f>
        <v>0</v>
      </c>
      <c r="Q50" s="13" t="n">
        <f aca="false">SUMIFS(BD_REVIT!$H:$H,BD_REVIT!$C:$C,$A50,BD_REVIT!$F:$F,Q$4)</f>
        <v>0</v>
      </c>
      <c r="R50" s="13" t="n">
        <f aca="false">SUMIFS(BD_REVIT!$H:$H,BD_REVIT!$C:$C,$A50,BD_REVIT!$F:$F,R$4)</f>
        <v>0</v>
      </c>
      <c r="S50" s="13" t="n">
        <f aca="false">SUMIFS(BD_REVIT!$H:$H,BD_REVIT!$C:$C,$A50,BD_REVIT!$F:$F,S$4)</f>
        <v>0</v>
      </c>
      <c r="T50" s="13" t="n">
        <f aca="false">SUMIFS(BD_REVIT!$H:$H,BD_REVIT!$C:$C,$A50,BD_REVIT!$F:$F,T$4)</f>
        <v>0</v>
      </c>
      <c r="U50" s="13" t="n">
        <f aca="false">SUMIFS(BD_REVIT!$H:$H,BD_REVIT!$C:$C,$A50,BD_REVIT!$F:$F,U$4)</f>
        <v>0</v>
      </c>
      <c r="V50" s="13" t="n">
        <f aca="false">SUMIFS(BD_REVIT!$H:$H,BD_REVIT!$C:$C,$A50,BD_REVIT!$F:$F,V$4)</f>
        <v>0</v>
      </c>
      <c r="W50" s="13" t="n">
        <f aca="false">SUMIFS(BD_REVIT!$H:$H,BD_REVIT!$C:$C,$A50,BD_REVIT!$F:$F,W$4)</f>
        <v>0</v>
      </c>
      <c r="X50" s="13" t="n">
        <f aca="false">SUMIFS(BD_REVIT!$H:$H,BD_REVIT!$C:$C,$A50,BD_REVIT!$F:$F,X$4)</f>
        <v>0</v>
      </c>
      <c r="Y50" s="13" t="n">
        <f aca="false">SUMIFS(BD_REVIT!$H:$H,BD_REVIT!$C:$C,$A50,BD_REVIT!$F:$F,Y$4)</f>
        <v>0</v>
      </c>
      <c r="Z50" s="52" t="n">
        <f aca="false">SUM(D50:Y50)</f>
        <v>7</v>
      </c>
      <c r="AA50" s="13" t="n">
        <f aca="false">NIVEL!D440</f>
        <v>7</v>
      </c>
      <c r="AB50" s="13" t="n">
        <f aca="false">ROUND(Z50-AA50,2)</f>
        <v>0</v>
      </c>
    </row>
    <row r="51" customFormat="false" ht="15" hidden="false" customHeight="false" outlineLevel="0" collapsed="false">
      <c r="A51" s="10" t="s">
        <v>779</v>
      </c>
      <c r="B51" s="51" t="s">
        <v>780</v>
      </c>
      <c r="C51" s="10" t="s">
        <v>61</v>
      </c>
      <c r="D51" s="13" t="n">
        <f aca="false">SUMIFS(BD_REVIT!$H:$H,BD_REVIT!$C:$C,$A51,BD_REVIT!$F:$F,D$4)</f>
        <v>0</v>
      </c>
      <c r="E51" s="13" t="n">
        <f aca="false">SUMIFS(BD_REVIT!$H:$H,BD_REVIT!$C:$C,$A51,BD_REVIT!$F:$F,E$4)</f>
        <v>0</v>
      </c>
      <c r="F51" s="13" t="n">
        <f aca="false">SUMIFS(BD_REVIT!$H:$H,BD_REVIT!$C:$C,$A51,BD_REVIT!$F:$F,F$4)</f>
        <v>2</v>
      </c>
      <c r="G51" s="13" t="n">
        <f aca="false">SUMIFS(BD_REVIT!$H:$H,BD_REVIT!$C:$C,$A51,BD_REVIT!$F:$F,G$4)</f>
        <v>2</v>
      </c>
      <c r="H51" s="13" t="n">
        <f aca="false">SUMIFS(BD_REVIT!$H:$H,BD_REVIT!$C:$C,$A51,BD_REVIT!$F:$F,H$4)</f>
        <v>2</v>
      </c>
      <c r="I51" s="13" t="n">
        <f aca="false">SUMIFS(BD_REVIT!$H:$H,BD_REVIT!$C:$C,$A51,BD_REVIT!$F:$F,I$4)</f>
        <v>2</v>
      </c>
      <c r="J51" s="13" t="n">
        <f aca="false">SUMIFS(BD_REVIT!$H:$H,BD_REVIT!$C:$C,$A51,BD_REVIT!$F:$F,J$4)</f>
        <v>4</v>
      </c>
      <c r="K51" s="13" t="n">
        <f aca="false">SUMIFS(BD_REVIT!$H:$H,BD_REVIT!$C:$C,$A51,BD_REVIT!$F:$F,K$4)</f>
        <v>2</v>
      </c>
      <c r="L51" s="13" t="n">
        <f aca="false">SUMIFS(BD_REVIT!$H:$H,BD_REVIT!$C:$C,$A51,BD_REVIT!$F:$F,L$4)</f>
        <v>0</v>
      </c>
      <c r="M51" s="13" t="n">
        <f aca="false">SUMIFS(BD_REVIT!$H:$H,BD_REVIT!$C:$C,$A51,BD_REVIT!$F:$F,M$4)</f>
        <v>0</v>
      </c>
      <c r="N51" s="13" t="n">
        <f aca="false">SUMIFS(BD_REVIT!$H:$H,BD_REVIT!$C:$C,$A51,BD_REVIT!$F:$F,N$4)</f>
        <v>0</v>
      </c>
      <c r="O51" s="13" t="n">
        <f aca="false">SUMIFS(BD_REVIT!$H:$H,BD_REVIT!$C:$C,$A51,BD_REVIT!$F:$F,O$4)</f>
        <v>0</v>
      </c>
      <c r="P51" s="13" t="n">
        <f aca="false">SUMIFS(BD_REVIT!$H:$H,BD_REVIT!$C:$C,$A51,BD_REVIT!$F:$F,P$4)</f>
        <v>0</v>
      </c>
      <c r="Q51" s="13" t="n">
        <f aca="false">SUMIFS(BD_REVIT!$H:$H,BD_REVIT!$C:$C,$A51,BD_REVIT!$F:$F,Q$4)</f>
        <v>0</v>
      </c>
      <c r="R51" s="13" t="n">
        <f aca="false">SUMIFS(BD_REVIT!$H:$H,BD_REVIT!$C:$C,$A51,BD_REVIT!$F:$F,R$4)</f>
        <v>0</v>
      </c>
      <c r="S51" s="13" t="n">
        <f aca="false">SUMIFS(BD_REVIT!$H:$H,BD_REVIT!$C:$C,$A51,BD_REVIT!$F:$F,S$4)</f>
        <v>0</v>
      </c>
      <c r="T51" s="13" t="n">
        <f aca="false">SUMIFS(BD_REVIT!$H:$H,BD_REVIT!$C:$C,$A51,BD_REVIT!$F:$F,T$4)</f>
        <v>0</v>
      </c>
      <c r="U51" s="13" t="n">
        <f aca="false">SUMIFS(BD_REVIT!$H:$H,BD_REVIT!$C:$C,$A51,BD_REVIT!$F:$F,U$4)</f>
        <v>0</v>
      </c>
      <c r="V51" s="13" t="n">
        <f aca="false">SUMIFS(BD_REVIT!$H:$H,BD_REVIT!$C:$C,$A51,BD_REVIT!$F:$F,V$4)</f>
        <v>0</v>
      </c>
      <c r="W51" s="13" t="n">
        <f aca="false">SUMIFS(BD_REVIT!$H:$H,BD_REVIT!$C:$C,$A51,BD_REVIT!$F:$F,W$4)</f>
        <v>0</v>
      </c>
      <c r="X51" s="13" t="n">
        <f aca="false">SUMIFS(BD_REVIT!$H:$H,BD_REVIT!$C:$C,$A51,BD_REVIT!$F:$F,X$4)</f>
        <v>0</v>
      </c>
      <c r="Y51" s="13" t="n">
        <f aca="false">SUMIFS(BD_REVIT!$H:$H,BD_REVIT!$C:$C,$A51,BD_REVIT!$F:$F,Y$4)</f>
        <v>0</v>
      </c>
      <c r="Z51" s="52" t="n">
        <f aca="false">SUM(D51:Y51)</f>
        <v>14</v>
      </c>
      <c r="AA51" s="13" t="n">
        <f aca="false">NIVEL!D442</f>
        <v>14</v>
      </c>
      <c r="AB51" s="13" t="n">
        <f aca="false">ROUND(Z51-AA51,2)</f>
        <v>0</v>
      </c>
    </row>
    <row r="52" customFormat="false" ht="15" hidden="false" customHeight="false" outlineLevel="0" collapsed="false">
      <c r="A52" s="10" t="s">
        <v>781</v>
      </c>
      <c r="B52" s="51" t="s">
        <v>782</v>
      </c>
      <c r="C52" s="10" t="s">
        <v>61</v>
      </c>
      <c r="D52" s="13" t="n">
        <f aca="false">SUMIFS(BD_REVIT!$H:$H,BD_REVIT!$C:$C,$A52,BD_REVIT!$F:$F,D$4)</f>
        <v>0</v>
      </c>
      <c r="E52" s="13" t="n">
        <f aca="false">SUMIFS(BD_REVIT!$H:$H,BD_REVIT!$C:$C,$A52,BD_REVIT!$F:$F,E$4)</f>
        <v>0</v>
      </c>
      <c r="F52" s="13" t="n">
        <f aca="false">SUMIFS(BD_REVIT!$H:$H,BD_REVIT!$C:$C,$A52,BD_REVIT!$F:$F,F$4)</f>
        <v>1</v>
      </c>
      <c r="G52" s="13" t="n">
        <f aca="false">SUMIFS(BD_REVIT!$H:$H,BD_REVIT!$C:$C,$A52,BD_REVIT!$F:$F,G$4)</f>
        <v>1</v>
      </c>
      <c r="H52" s="13" t="n">
        <f aca="false">SUMIFS(BD_REVIT!$H:$H,BD_REVIT!$C:$C,$A52,BD_REVIT!$F:$F,H$4)</f>
        <v>2</v>
      </c>
      <c r="I52" s="13" t="n">
        <f aca="false">SUMIFS(BD_REVIT!$H:$H,BD_REVIT!$C:$C,$A52,BD_REVIT!$F:$F,I$4)</f>
        <v>3</v>
      </c>
      <c r="J52" s="13" t="n">
        <f aca="false">SUMIFS(BD_REVIT!$H:$H,BD_REVIT!$C:$C,$A52,BD_REVIT!$F:$F,J$4)</f>
        <v>0</v>
      </c>
      <c r="K52" s="13" t="n">
        <f aca="false">SUMIFS(BD_REVIT!$H:$H,BD_REVIT!$C:$C,$A52,BD_REVIT!$F:$F,K$4)</f>
        <v>7</v>
      </c>
      <c r="L52" s="13" t="n">
        <f aca="false">SUMIFS(BD_REVIT!$H:$H,BD_REVIT!$C:$C,$A52,BD_REVIT!$F:$F,L$4)</f>
        <v>0</v>
      </c>
      <c r="M52" s="13" t="n">
        <f aca="false">SUMIFS(BD_REVIT!$H:$H,BD_REVIT!$C:$C,$A52,BD_REVIT!$F:$F,M$4)</f>
        <v>0</v>
      </c>
      <c r="N52" s="13" t="n">
        <f aca="false">SUMIFS(BD_REVIT!$H:$H,BD_REVIT!$C:$C,$A52,BD_REVIT!$F:$F,N$4)</f>
        <v>0</v>
      </c>
      <c r="O52" s="13" t="n">
        <f aca="false">SUMIFS(BD_REVIT!$H:$H,BD_REVIT!$C:$C,$A52,BD_REVIT!$F:$F,O$4)</f>
        <v>0</v>
      </c>
      <c r="P52" s="13" t="n">
        <f aca="false">SUMIFS(BD_REVIT!$H:$H,BD_REVIT!$C:$C,$A52,BD_REVIT!$F:$F,P$4)</f>
        <v>0</v>
      </c>
      <c r="Q52" s="13" t="n">
        <f aca="false">SUMIFS(BD_REVIT!$H:$H,BD_REVIT!$C:$C,$A52,BD_REVIT!$F:$F,Q$4)</f>
        <v>0</v>
      </c>
      <c r="R52" s="13" t="n">
        <f aca="false">SUMIFS(BD_REVIT!$H:$H,BD_REVIT!$C:$C,$A52,BD_REVIT!$F:$F,R$4)</f>
        <v>0</v>
      </c>
      <c r="S52" s="13" t="n">
        <f aca="false">SUMIFS(BD_REVIT!$H:$H,BD_REVIT!$C:$C,$A52,BD_REVIT!$F:$F,S$4)</f>
        <v>0</v>
      </c>
      <c r="T52" s="13" t="n">
        <f aca="false">SUMIFS(BD_REVIT!$H:$H,BD_REVIT!$C:$C,$A52,BD_REVIT!$F:$F,T$4)</f>
        <v>0</v>
      </c>
      <c r="U52" s="13" t="n">
        <f aca="false">SUMIFS(BD_REVIT!$H:$H,BD_REVIT!$C:$C,$A52,BD_REVIT!$F:$F,U$4)</f>
        <v>0</v>
      </c>
      <c r="V52" s="13" t="n">
        <f aca="false">SUMIFS(BD_REVIT!$H:$H,BD_REVIT!$C:$C,$A52,BD_REVIT!$F:$F,V$4)</f>
        <v>0</v>
      </c>
      <c r="W52" s="13" t="n">
        <f aca="false">SUMIFS(BD_REVIT!$H:$H,BD_REVIT!$C:$C,$A52,BD_REVIT!$F:$F,W$4)</f>
        <v>0</v>
      </c>
      <c r="X52" s="13" t="n">
        <f aca="false">SUMIFS(BD_REVIT!$H:$H,BD_REVIT!$C:$C,$A52,BD_REVIT!$F:$F,X$4)</f>
        <v>0</v>
      </c>
      <c r="Y52" s="13" t="n">
        <f aca="false">SUMIFS(BD_REVIT!$H:$H,BD_REVIT!$C:$C,$A52,BD_REVIT!$F:$F,Y$4)</f>
        <v>0</v>
      </c>
      <c r="Z52" s="52" t="n">
        <f aca="false">SUM(D52:Y52)</f>
        <v>14</v>
      </c>
      <c r="AA52" s="13" t="n">
        <f aca="false">NIVEL!D443</f>
        <v>14</v>
      </c>
      <c r="AB52" s="13" t="n">
        <f aca="false">ROUND(Z52-AA52,2)</f>
        <v>0</v>
      </c>
    </row>
    <row r="53" customFormat="false" ht="15" hidden="false" customHeight="false" outlineLevel="0" collapsed="false">
      <c r="A53" s="10" t="s">
        <v>783</v>
      </c>
      <c r="B53" s="51" t="s">
        <v>784</v>
      </c>
      <c r="C53" s="10" t="s">
        <v>61</v>
      </c>
      <c r="D53" s="13" t="n">
        <f aca="false">SUMIFS(BD_REVIT!$H:$H,BD_REVIT!$C:$C,$A53,BD_REVIT!$F:$F,D$4)</f>
        <v>4</v>
      </c>
      <c r="E53" s="13" t="n">
        <f aca="false">SUMIFS(BD_REVIT!$H:$H,BD_REVIT!$C:$C,$A53,BD_REVIT!$F:$F,E$4)</f>
        <v>0</v>
      </c>
      <c r="F53" s="13" t="n">
        <f aca="false">SUMIFS(BD_REVIT!$H:$H,BD_REVIT!$C:$C,$A53,BD_REVIT!$F:$F,F$4)</f>
        <v>0</v>
      </c>
      <c r="G53" s="13" t="n">
        <f aca="false">SUMIFS(BD_REVIT!$H:$H,BD_REVIT!$C:$C,$A53,BD_REVIT!$F:$F,G$4)</f>
        <v>0</v>
      </c>
      <c r="H53" s="13" t="n">
        <f aca="false">SUMIFS(BD_REVIT!$H:$H,BD_REVIT!$C:$C,$A53,BD_REVIT!$F:$F,H$4)</f>
        <v>0</v>
      </c>
      <c r="I53" s="13" t="n">
        <f aca="false">SUMIFS(BD_REVIT!$H:$H,BD_REVIT!$C:$C,$A53,BD_REVIT!$F:$F,I$4)</f>
        <v>0</v>
      </c>
      <c r="J53" s="13" t="n">
        <f aca="false">SUMIFS(BD_REVIT!$H:$H,BD_REVIT!$C:$C,$A53,BD_REVIT!$F:$F,J$4)</f>
        <v>33</v>
      </c>
      <c r="K53" s="13" t="n">
        <f aca="false">SUMIFS(BD_REVIT!$H:$H,BD_REVIT!$C:$C,$A53,BD_REVIT!$F:$F,K$4)</f>
        <v>48</v>
      </c>
      <c r="L53" s="13" t="n">
        <f aca="false">SUMIFS(BD_REVIT!$H:$H,BD_REVIT!$C:$C,$A53,BD_REVIT!$F:$F,L$4)</f>
        <v>0</v>
      </c>
      <c r="M53" s="13" t="n">
        <f aca="false">SUMIFS(BD_REVIT!$H:$H,BD_REVIT!$C:$C,$A53,BD_REVIT!$F:$F,M$4)</f>
        <v>0</v>
      </c>
      <c r="N53" s="13" t="n">
        <f aca="false">SUMIFS(BD_REVIT!$H:$H,BD_REVIT!$C:$C,$A53,BD_REVIT!$F:$F,N$4)</f>
        <v>0</v>
      </c>
      <c r="O53" s="13" t="n">
        <f aca="false">SUMIFS(BD_REVIT!$H:$H,BD_REVIT!$C:$C,$A53,BD_REVIT!$F:$F,O$4)</f>
        <v>0</v>
      </c>
      <c r="P53" s="13" t="n">
        <f aca="false">SUMIFS(BD_REVIT!$H:$H,BD_REVIT!$C:$C,$A53,BD_REVIT!$F:$F,P$4)</f>
        <v>0</v>
      </c>
      <c r="Q53" s="13" t="n">
        <f aca="false">SUMIFS(BD_REVIT!$H:$H,BD_REVIT!$C:$C,$A53,BD_REVIT!$F:$F,Q$4)</f>
        <v>0</v>
      </c>
      <c r="R53" s="13" t="n">
        <f aca="false">SUMIFS(BD_REVIT!$H:$H,BD_REVIT!$C:$C,$A53,BD_REVIT!$F:$F,R$4)</f>
        <v>0</v>
      </c>
      <c r="S53" s="13" t="n">
        <f aca="false">SUMIFS(BD_REVIT!$H:$H,BD_REVIT!$C:$C,$A53,BD_REVIT!$F:$F,S$4)</f>
        <v>0</v>
      </c>
      <c r="T53" s="13" t="n">
        <f aca="false">SUMIFS(BD_REVIT!$H:$H,BD_REVIT!$C:$C,$A53,BD_REVIT!$F:$F,T$4)</f>
        <v>0</v>
      </c>
      <c r="U53" s="13" t="n">
        <f aca="false">SUMIFS(BD_REVIT!$H:$H,BD_REVIT!$C:$C,$A53,BD_REVIT!$F:$F,U$4)</f>
        <v>0</v>
      </c>
      <c r="V53" s="13" t="n">
        <f aca="false">SUMIFS(BD_REVIT!$H:$H,BD_REVIT!$C:$C,$A53,BD_REVIT!$F:$F,V$4)</f>
        <v>2</v>
      </c>
      <c r="W53" s="13" t="n">
        <f aca="false">SUMIFS(BD_REVIT!$H:$H,BD_REVIT!$C:$C,$A53,BD_REVIT!$F:$F,W$4)</f>
        <v>0</v>
      </c>
      <c r="X53" s="13" t="n">
        <f aca="false">SUMIFS(BD_REVIT!$H:$H,BD_REVIT!$C:$C,$A53,BD_REVIT!$F:$F,X$4)</f>
        <v>0</v>
      </c>
      <c r="Y53" s="13" t="n">
        <f aca="false">SUMIFS(BD_REVIT!$H:$H,BD_REVIT!$C:$C,$A53,BD_REVIT!$F:$F,Y$4)</f>
        <v>0</v>
      </c>
      <c r="Z53" s="52" t="n">
        <f aca="false">SUM(D53:Y53)</f>
        <v>87</v>
      </c>
      <c r="AA53" s="13" t="n">
        <f aca="false">NIVEL!D444</f>
        <v>87</v>
      </c>
      <c r="AB53" s="13" t="n">
        <f aca="false">ROUND(Z53-AA53,2)</f>
        <v>0</v>
      </c>
    </row>
    <row r="54" customFormat="false" ht="15" hidden="false" customHeight="false" outlineLevel="0" collapsed="false">
      <c r="A54" s="10" t="s">
        <v>785</v>
      </c>
      <c r="B54" s="51" t="s">
        <v>786</v>
      </c>
      <c r="C54" s="10" t="s">
        <v>61</v>
      </c>
      <c r="D54" s="13" t="n">
        <f aca="false">SUMIFS(BD_REVIT!$H:$H,BD_REVIT!$C:$C,$A54,BD_REVIT!$F:$F,D$4)</f>
        <v>0</v>
      </c>
      <c r="E54" s="13" t="n">
        <f aca="false">SUMIFS(BD_REVIT!$H:$H,BD_REVIT!$C:$C,$A54,BD_REVIT!$F:$F,E$4)</f>
        <v>0</v>
      </c>
      <c r="F54" s="13" t="n">
        <f aca="false">SUMIFS(BD_REVIT!$H:$H,BD_REVIT!$C:$C,$A54,BD_REVIT!$F:$F,F$4)</f>
        <v>2</v>
      </c>
      <c r="G54" s="13" t="n">
        <f aca="false">SUMIFS(BD_REVIT!$H:$H,BD_REVIT!$C:$C,$A54,BD_REVIT!$F:$F,G$4)</f>
        <v>7</v>
      </c>
      <c r="H54" s="13" t="n">
        <f aca="false">SUMIFS(BD_REVIT!$H:$H,BD_REVIT!$C:$C,$A54,BD_REVIT!$F:$F,H$4)</f>
        <v>1</v>
      </c>
      <c r="I54" s="13" t="n">
        <f aca="false">SUMIFS(BD_REVIT!$H:$H,BD_REVIT!$C:$C,$A54,BD_REVIT!$F:$F,I$4)</f>
        <v>1</v>
      </c>
      <c r="J54" s="13" t="n">
        <f aca="false">SUMIFS(BD_REVIT!$H:$H,BD_REVIT!$C:$C,$A54,BD_REVIT!$F:$F,J$4)</f>
        <v>10</v>
      </c>
      <c r="K54" s="13" t="n">
        <f aca="false">SUMIFS(BD_REVIT!$H:$H,BD_REVIT!$C:$C,$A54,BD_REVIT!$F:$F,K$4)</f>
        <v>12</v>
      </c>
      <c r="L54" s="13" t="n">
        <f aca="false">SUMIFS(BD_REVIT!$H:$H,BD_REVIT!$C:$C,$A54,BD_REVIT!$F:$F,L$4)</f>
        <v>0</v>
      </c>
      <c r="M54" s="13" t="n">
        <f aca="false">SUMIFS(BD_REVIT!$H:$H,BD_REVIT!$C:$C,$A54,BD_REVIT!$F:$F,M$4)</f>
        <v>0</v>
      </c>
      <c r="N54" s="13" t="n">
        <f aca="false">SUMIFS(BD_REVIT!$H:$H,BD_REVIT!$C:$C,$A54,BD_REVIT!$F:$F,N$4)</f>
        <v>0</v>
      </c>
      <c r="O54" s="13" t="n">
        <f aca="false">SUMIFS(BD_REVIT!$H:$H,BD_REVIT!$C:$C,$A54,BD_REVIT!$F:$F,O$4)</f>
        <v>0</v>
      </c>
      <c r="P54" s="13" t="n">
        <f aca="false">SUMIFS(BD_REVIT!$H:$H,BD_REVIT!$C:$C,$A54,BD_REVIT!$F:$F,P$4)</f>
        <v>0</v>
      </c>
      <c r="Q54" s="13" t="n">
        <f aca="false">SUMIFS(BD_REVIT!$H:$H,BD_REVIT!$C:$C,$A54,BD_REVIT!$F:$F,Q$4)</f>
        <v>0</v>
      </c>
      <c r="R54" s="13" t="n">
        <f aca="false">SUMIFS(BD_REVIT!$H:$H,BD_REVIT!$C:$C,$A54,BD_REVIT!$F:$F,R$4)</f>
        <v>0</v>
      </c>
      <c r="S54" s="13" t="n">
        <f aca="false">SUMIFS(BD_REVIT!$H:$H,BD_REVIT!$C:$C,$A54,BD_REVIT!$F:$F,S$4)</f>
        <v>0</v>
      </c>
      <c r="T54" s="13" t="n">
        <f aca="false">SUMIFS(BD_REVIT!$H:$H,BD_REVIT!$C:$C,$A54,BD_REVIT!$F:$F,T$4)</f>
        <v>0</v>
      </c>
      <c r="U54" s="13" t="n">
        <f aca="false">SUMIFS(BD_REVIT!$H:$H,BD_REVIT!$C:$C,$A54,BD_REVIT!$F:$F,U$4)</f>
        <v>0</v>
      </c>
      <c r="V54" s="13" t="n">
        <f aca="false">SUMIFS(BD_REVIT!$H:$H,BD_REVIT!$C:$C,$A54,BD_REVIT!$F:$F,V$4)</f>
        <v>0</v>
      </c>
      <c r="W54" s="13" t="n">
        <f aca="false">SUMIFS(BD_REVIT!$H:$H,BD_REVIT!$C:$C,$A54,BD_REVIT!$F:$F,W$4)</f>
        <v>0</v>
      </c>
      <c r="X54" s="13" t="n">
        <f aca="false">SUMIFS(BD_REVIT!$H:$H,BD_REVIT!$C:$C,$A54,BD_REVIT!$F:$F,X$4)</f>
        <v>0</v>
      </c>
      <c r="Y54" s="13" t="n">
        <f aca="false">SUMIFS(BD_REVIT!$H:$H,BD_REVIT!$C:$C,$A54,BD_REVIT!$F:$F,Y$4)</f>
        <v>0</v>
      </c>
      <c r="Z54" s="52" t="n">
        <f aca="false">SUM(D54:Y54)</f>
        <v>33</v>
      </c>
      <c r="AA54" s="13" t="n">
        <f aca="false">NIVEL!D445</f>
        <v>33</v>
      </c>
      <c r="AB54" s="13" t="n">
        <f aca="false">ROUND(Z54-AA54,2)</f>
        <v>0</v>
      </c>
    </row>
    <row r="55" customFormat="false" ht="15" hidden="false" customHeight="false" outlineLevel="0" collapsed="false">
      <c r="A55" s="10" t="s">
        <v>787</v>
      </c>
      <c r="B55" s="51" t="s">
        <v>788</v>
      </c>
      <c r="C55" s="10" t="s">
        <v>61</v>
      </c>
      <c r="D55" s="13" t="n">
        <f aca="false">SUMIFS(BD_REVIT!$H:$H,BD_REVIT!$C:$C,$A55,BD_REVIT!$F:$F,D$4)</f>
        <v>0</v>
      </c>
      <c r="E55" s="13" t="n">
        <f aca="false">SUMIFS(BD_REVIT!$H:$H,BD_REVIT!$C:$C,$A55,BD_REVIT!$F:$F,E$4)</f>
        <v>16</v>
      </c>
      <c r="F55" s="13" t="n">
        <f aca="false">SUMIFS(BD_REVIT!$H:$H,BD_REVIT!$C:$C,$A55,BD_REVIT!$F:$F,F$4)</f>
        <v>32</v>
      </c>
      <c r="G55" s="13" t="n">
        <f aca="false">SUMIFS(BD_REVIT!$H:$H,BD_REVIT!$C:$C,$A55,BD_REVIT!$F:$F,G$4)</f>
        <v>39</v>
      </c>
      <c r="H55" s="13" t="n">
        <f aca="false">SUMIFS(BD_REVIT!$H:$H,BD_REVIT!$C:$C,$A55,BD_REVIT!$F:$F,H$4)</f>
        <v>41</v>
      </c>
      <c r="I55" s="13" t="n">
        <f aca="false">SUMIFS(BD_REVIT!$H:$H,BD_REVIT!$C:$C,$A55,BD_REVIT!$F:$F,I$4)</f>
        <v>62</v>
      </c>
      <c r="J55" s="13" t="n">
        <f aca="false">SUMIFS(BD_REVIT!$H:$H,BD_REVIT!$C:$C,$A55,BD_REVIT!$F:$F,J$4)</f>
        <v>45</v>
      </c>
      <c r="K55" s="13" t="n">
        <f aca="false">SUMIFS(BD_REVIT!$H:$H,BD_REVIT!$C:$C,$A55,BD_REVIT!$F:$F,K$4)</f>
        <v>10</v>
      </c>
      <c r="L55" s="13" t="n">
        <f aca="false">SUMIFS(BD_REVIT!$H:$H,BD_REVIT!$C:$C,$A55,BD_REVIT!$F:$F,L$4)</f>
        <v>0</v>
      </c>
      <c r="M55" s="13" t="n">
        <f aca="false">SUMIFS(BD_REVIT!$H:$H,BD_REVIT!$C:$C,$A55,BD_REVIT!$F:$F,M$4)</f>
        <v>0</v>
      </c>
      <c r="N55" s="13" t="n">
        <f aca="false">SUMIFS(BD_REVIT!$H:$H,BD_REVIT!$C:$C,$A55,BD_REVIT!$F:$F,N$4)</f>
        <v>0</v>
      </c>
      <c r="O55" s="13" t="n">
        <f aca="false">SUMIFS(BD_REVIT!$H:$H,BD_REVIT!$C:$C,$A55,BD_REVIT!$F:$F,O$4)</f>
        <v>0</v>
      </c>
      <c r="P55" s="13" t="n">
        <f aca="false">SUMIFS(BD_REVIT!$H:$H,BD_REVIT!$C:$C,$A55,BD_REVIT!$F:$F,P$4)</f>
        <v>0</v>
      </c>
      <c r="Q55" s="13" t="n">
        <f aca="false">SUMIFS(BD_REVIT!$H:$H,BD_REVIT!$C:$C,$A55,BD_REVIT!$F:$F,Q$4)</f>
        <v>0</v>
      </c>
      <c r="R55" s="13" t="n">
        <f aca="false">SUMIFS(BD_REVIT!$H:$H,BD_REVIT!$C:$C,$A55,BD_REVIT!$F:$F,R$4)</f>
        <v>0</v>
      </c>
      <c r="S55" s="13" t="n">
        <f aca="false">SUMIFS(BD_REVIT!$H:$H,BD_REVIT!$C:$C,$A55,BD_REVIT!$F:$F,S$4)</f>
        <v>0</v>
      </c>
      <c r="T55" s="13" t="n">
        <f aca="false">SUMIFS(BD_REVIT!$H:$H,BD_REVIT!$C:$C,$A55,BD_REVIT!$F:$F,T$4)</f>
        <v>0</v>
      </c>
      <c r="U55" s="13" t="n">
        <f aca="false">SUMIFS(BD_REVIT!$H:$H,BD_REVIT!$C:$C,$A55,BD_REVIT!$F:$F,U$4)</f>
        <v>0</v>
      </c>
      <c r="V55" s="13" t="n">
        <f aca="false">SUMIFS(BD_REVIT!$H:$H,BD_REVIT!$C:$C,$A55,BD_REVIT!$F:$F,V$4)</f>
        <v>0</v>
      </c>
      <c r="W55" s="13" t="n">
        <f aca="false">SUMIFS(BD_REVIT!$H:$H,BD_REVIT!$C:$C,$A55,BD_REVIT!$F:$F,W$4)</f>
        <v>0</v>
      </c>
      <c r="X55" s="13" t="n">
        <f aca="false">SUMIFS(BD_REVIT!$H:$H,BD_REVIT!$C:$C,$A55,BD_REVIT!$F:$F,X$4)</f>
        <v>0</v>
      </c>
      <c r="Y55" s="13" t="n">
        <f aca="false">SUMIFS(BD_REVIT!$H:$H,BD_REVIT!$C:$C,$A55,BD_REVIT!$F:$F,Y$4)</f>
        <v>0</v>
      </c>
      <c r="Z55" s="52" t="n">
        <f aca="false">SUM(D55:Y55)</f>
        <v>245</v>
      </c>
      <c r="AA55" s="13" t="n">
        <f aca="false">NIVEL!D446</f>
        <v>245</v>
      </c>
      <c r="AB55" s="13" t="n">
        <f aca="false">ROUND(Z55-AA55,2)</f>
        <v>0</v>
      </c>
    </row>
    <row r="56" customFormat="false" ht="15" hidden="false" customHeight="false" outlineLevel="0" collapsed="false">
      <c r="A56" s="10" t="s">
        <v>789</v>
      </c>
      <c r="B56" s="51" t="s">
        <v>790</v>
      </c>
      <c r="C56" s="10" t="s">
        <v>61</v>
      </c>
      <c r="D56" s="13" t="n">
        <f aca="false">SUMIFS(BD_REVIT!$H:$H,BD_REVIT!$C:$C,$A56,BD_REVIT!$F:$F,D$4)</f>
        <v>6</v>
      </c>
      <c r="E56" s="13" t="n">
        <f aca="false">SUMIFS(BD_REVIT!$H:$H,BD_REVIT!$C:$C,$A56,BD_REVIT!$F:$F,E$4)</f>
        <v>0</v>
      </c>
      <c r="F56" s="13" t="n">
        <f aca="false">SUMIFS(BD_REVIT!$H:$H,BD_REVIT!$C:$C,$A56,BD_REVIT!$F:$F,F$4)</f>
        <v>0</v>
      </c>
      <c r="G56" s="13" t="n">
        <f aca="false">SUMIFS(BD_REVIT!$H:$H,BD_REVIT!$C:$C,$A56,BD_REVIT!$F:$F,G$4)</f>
        <v>0</v>
      </c>
      <c r="H56" s="13" t="n">
        <f aca="false">SUMIFS(BD_REVIT!$H:$H,BD_REVIT!$C:$C,$A56,BD_REVIT!$F:$F,H$4)</f>
        <v>0</v>
      </c>
      <c r="I56" s="13" t="n">
        <f aca="false">SUMIFS(BD_REVIT!$H:$H,BD_REVIT!$C:$C,$A56,BD_REVIT!$F:$F,I$4)</f>
        <v>0</v>
      </c>
      <c r="J56" s="13" t="n">
        <f aca="false">SUMIFS(BD_REVIT!$H:$H,BD_REVIT!$C:$C,$A56,BD_REVIT!$F:$F,J$4)</f>
        <v>9</v>
      </c>
      <c r="K56" s="13" t="n">
        <f aca="false">SUMIFS(BD_REVIT!$H:$H,BD_REVIT!$C:$C,$A56,BD_REVIT!$F:$F,K$4)</f>
        <v>0</v>
      </c>
      <c r="L56" s="13" t="n">
        <f aca="false">SUMIFS(BD_REVIT!$H:$H,BD_REVIT!$C:$C,$A56,BD_REVIT!$F:$F,L$4)</f>
        <v>0</v>
      </c>
      <c r="M56" s="13" t="n">
        <f aca="false">SUMIFS(BD_REVIT!$H:$H,BD_REVIT!$C:$C,$A56,BD_REVIT!$F:$F,M$4)</f>
        <v>0</v>
      </c>
      <c r="N56" s="13" t="n">
        <f aca="false">SUMIFS(BD_REVIT!$H:$H,BD_REVIT!$C:$C,$A56,BD_REVIT!$F:$F,N$4)</f>
        <v>0</v>
      </c>
      <c r="O56" s="13" t="n">
        <f aca="false">SUMIFS(BD_REVIT!$H:$H,BD_REVIT!$C:$C,$A56,BD_REVIT!$F:$F,O$4)</f>
        <v>0</v>
      </c>
      <c r="P56" s="13" t="n">
        <f aca="false">SUMIFS(BD_REVIT!$H:$H,BD_REVIT!$C:$C,$A56,BD_REVIT!$F:$F,P$4)</f>
        <v>0</v>
      </c>
      <c r="Q56" s="13" t="n">
        <f aca="false">SUMIFS(BD_REVIT!$H:$H,BD_REVIT!$C:$C,$A56,BD_REVIT!$F:$F,Q$4)</f>
        <v>0</v>
      </c>
      <c r="R56" s="13" t="n">
        <f aca="false">SUMIFS(BD_REVIT!$H:$H,BD_REVIT!$C:$C,$A56,BD_REVIT!$F:$F,R$4)</f>
        <v>0</v>
      </c>
      <c r="S56" s="13" t="n">
        <f aca="false">SUMIFS(BD_REVIT!$H:$H,BD_REVIT!$C:$C,$A56,BD_REVIT!$F:$F,S$4)</f>
        <v>0</v>
      </c>
      <c r="T56" s="13" t="n">
        <f aca="false">SUMIFS(BD_REVIT!$H:$H,BD_REVIT!$C:$C,$A56,BD_REVIT!$F:$F,T$4)</f>
        <v>0</v>
      </c>
      <c r="U56" s="13" t="n">
        <f aca="false">SUMIFS(BD_REVIT!$H:$H,BD_REVIT!$C:$C,$A56,BD_REVIT!$F:$F,U$4)</f>
        <v>0</v>
      </c>
      <c r="V56" s="13" t="n">
        <f aca="false">SUMIFS(BD_REVIT!$H:$H,BD_REVIT!$C:$C,$A56,BD_REVIT!$F:$F,V$4)</f>
        <v>0</v>
      </c>
      <c r="W56" s="13" t="n">
        <f aca="false">SUMIFS(BD_REVIT!$H:$H,BD_REVIT!$C:$C,$A56,BD_REVIT!$F:$F,W$4)</f>
        <v>0</v>
      </c>
      <c r="X56" s="13" t="n">
        <f aca="false">SUMIFS(BD_REVIT!$H:$H,BD_REVIT!$C:$C,$A56,BD_REVIT!$F:$F,X$4)</f>
        <v>0</v>
      </c>
      <c r="Y56" s="13" t="n">
        <f aca="false">SUMIFS(BD_REVIT!$H:$H,BD_REVIT!$C:$C,$A56,BD_REVIT!$F:$F,Y$4)</f>
        <v>0</v>
      </c>
      <c r="Z56" s="52" t="n">
        <f aca="false">SUM(D56:Y56)</f>
        <v>15</v>
      </c>
      <c r="AA56" s="13" t="n">
        <f aca="false">NIVEL!D447</f>
        <v>15</v>
      </c>
      <c r="AB56" s="13" t="n">
        <f aca="false">ROUND(Z56-AA56,2)</f>
        <v>0</v>
      </c>
    </row>
    <row r="57" customFormat="false" ht="15" hidden="false" customHeight="false" outlineLevel="0" collapsed="false">
      <c r="A57" s="10" t="s">
        <v>791</v>
      </c>
      <c r="B57" s="51" t="s">
        <v>792</v>
      </c>
      <c r="C57" s="10" t="s">
        <v>61</v>
      </c>
      <c r="D57" s="13" t="n">
        <f aca="false">SUMIFS(BD_REVIT!$H:$H,BD_REVIT!$C:$C,$A57,BD_REVIT!$F:$F,D$4)</f>
        <v>77</v>
      </c>
      <c r="E57" s="13" t="n">
        <f aca="false">SUMIFS(BD_REVIT!$H:$H,BD_REVIT!$C:$C,$A57,BD_REVIT!$F:$F,E$4)</f>
        <v>0</v>
      </c>
      <c r="F57" s="13" t="n">
        <f aca="false">SUMIFS(BD_REVIT!$H:$H,BD_REVIT!$C:$C,$A57,BD_REVIT!$F:$F,F$4)</f>
        <v>0</v>
      </c>
      <c r="G57" s="13" t="n">
        <f aca="false">SUMIFS(BD_REVIT!$H:$H,BD_REVIT!$C:$C,$A57,BD_REVIT!$F:$F,G$4)</f>
        <v>0</v>
      </c>
      <c r="H57" s="13" t="n">
        <f aca="false">SUMIFS(BD_REVIT!$H:$H,BD_REVIT!$C:$C,$A57,BD_REVIT!$F:$F,H$4)</f>
        <v>0</v>
      </c>
      <c r="I57" s="13" t="n">
        <f aca="false">SUMIFS(BD_REVIT!$H:$H,BD_REVIT!$C:$C,$A57,BD_REVIT!$F:$F,I$4)</f>
        <v>14</v>
      </c>
      <c r="J57" s="13" t="n">
        <f aca="false">SUMIFS(BD_REVIT!$H:$H,BD_REVIT!$C:$C,$A57,BD_REVIT!$F:$F,J$4)</f>
        <v>4</v>
      </c>
      <c r="K57" s="13" t="n">
        <f aca="false">SUMIFS(BD_REVIT!$H:$H,BD_REVIT!$C:$C,$A57,BD_REVIT!$F:$F,K$4)</f>
        <v>0</v>
      </c>
      <c r="L57" s="13" t="n">
        <f aca="false">SUMIFS(BD_REVIT!$H:$H,BD_REVIT!$C:$C,$A57,BD_REVIT!$F:$F,L$4)</f>
        <v>0</v>
      </c>
      <c r="M57" s="13" t="n">
        <f aca="false">SUMIFS(BD_REVIT!$H:$H,BD_REVIT!$C:$C,$A57,BD_REVIT!$F:$F,M$4)</f>
        <v>0</v>
      </c>
      <c r="N57" s="13" t="n">
        <f aca="false">SUMIFS(BD_REVIT!$H:$H,BD_REVIT!$C:$C,$A57,BD_REVIT!$F:$F,N$4)</f>
        <v>0</v>
      </c>
      <c r="O57" s="13" t="n">
        <f aca="false">SUMIFS(BD_REVIT!$H:$H,BD_REVIT!$C:$C,$A57,BD_REVIT!$F:$F,O$4)</f>
        <v>0</v>
      </c>
      <c r="P57" s="13" t="n">
        <f aca="false">SUMIFS(BD_REVIT!$H:$H,BD_REVIT!$C:$C,$A57,BD_REVIT!$F:$F,P$4)</f>
        <v>0</v>
      </c>
      <c r="Q57" s="13" t="n">
        <f aca="false">SUMIFS(BD_REVIT!$H:$H,BD_REVIT!$C:$C,$A57,BD_REVIT!$F:$F,Q$4)</f>
        <v>0</v>
      </c>
      <c r="R57" s="13" t="n">
        <f aca="false">SUMIFS(BD_REVIT!$H:$H,BD_REVIT!$C:$C,$A57,BD_REVIT!$F:$F,R$4)</f>
        <v>0</v>
      </c>
      <c r="S57" s="13" t="n">
        <f aca="false">SUMIFS(BD_REVIT!$H:$H,BD_REVIT!$C:$C,$A57,BD_REVIT!$F:$F,S$4)</f>
        <v>0</v>
      </c>
      <c r="T57" s="13" t="n">
        <f aca="false">SUMIFS(BD_REVIT!$H:$H,BD_REVIT!$C:$C,$A57,BD_REVIT!$F:$F,T$4)</f>
        <v>0</v>
      </c>
      <c r="U57" s="13" t="n">
        <f aca="false">SUMIFS(BD_REVIT!$H:$H,BD_REVIT!$C:$C,$A57,BD_REVIT!$F:$F,U$4)</f>
        <v>0</v>
      </c>
      <c r="V57" s="13" t="n">
        <f aca="false">SUMIFS(BD_REVIT!$H:$H,BD_REVIT!$C:$C,$A57,BD_REVIT!$F:$F,V$4)</f>
        <v>2</v>
      </c>
      <c r="W57" s="13" t="n">
        <f aca="false">SUMIFS(BD_REVIT!$H:$H,BD_REVIT!$C:$C,$A57,BD_REVIT!$F:$F,W$4)</f>
        <v>0</v>
      </c>
      <c r="X57" s="13" t="n">
        <f aca="false">SUMIFS(BD_REVIT!$H:$H,BD_REVIT!$C:$C,$A57,BD_REVIT!$F:$F,X$4)</f>
        <v>0</v>
      </c>
      <c r="Y57" s="13" t="n">
        <f aca="false">SUMIFS(BD_REVIT!$H:$H,BD_REVIT!$C:$C,$A57,BD_REVIT!$F:$F,Y$4)</f>
        <v>0</v>
      </c>
      <c r="Z57" s="52" t="n">
        <f aca="false">SUM(D57:Y57)</f>
        <v>97</v>
      </c>
      <c r="AA57" s="13" t="n">
        <f aca="false">NIVEL!D448</f>
        <v>97</v>
      </c>
      <c r="AB57" s="13" t="n">
        <f aca="false">ROUND(Z57-AA57,2)</f>
        <v>0</v>
      </c>
    </row>
    <row r="58" customFormat="false" ht="15" hidden="false" customHeight="false" outlineLevel="0" collapsed="false">
      <c r="A58" s="10" t="s">
        <v>793</v>
      </c>
      <c r="B58" s="51" t="s">
        <v>794</v>
      </c>
      <c r="C58" s="10" t="s">
        <v>61</v>
      </c>
      <c r="D58" s="13" t="n">
        <f aca="false">SUMIFS(BD_REVIT!$H:$H,BD_REVIT!$C:$C,$A58,BD_REVIT!$F:$F,D$4)</f>
        <v>4</v>
      </c>
      <c r="E58" s="13" t="n">
        <f aca="false">SUMIFS(BD_REVIT!$H:$H,BD_REVIT!$C:$C,$A58,BD_REVIT!$F:$F,E$4)</f>
        <v>4</v>
      </c>
      <c r="F58" s="13" t="n">
        <f aca="false">SUMIFS(BD_REVIT!$H:$H,BD_REVIT!$C:$C,$A58,BD_REVIT!$F:$F,F$4)</f>
        <v>4</v>
      </c>
      <c r="G58" s="13" t="n">
        <f aca="false">SUMIFS(BD_REVIT!$H:$H,BD_REVIT!$C:$C,$A58,BD_REVIT!$F:$F,G$4)</f>
        <v>4</v>
      </c>
      <c r="H58" s="13" t="n">
        <f aca="false">SUMIFS(BD_REVIT!$H:$H,BD_REVIT!$C:$C,$A58,BD_REVIT!$F:$F,H$4)</f>
        <v>4</v>
      </c>
      <c r="I58" s="13" t="n">
        <f aca="false">SUMIFS(BD_REVIT!$H:$H,BD_REVIT!$C:$C,$A58,BD_REVIT!$F:$F,I$4)</f>
        <v>8</v>
      </c>
      <c r="J58" s="13" t="n">
        <f aca="false">SUMIFS(BD_REVIT!$H:$H,BD_REVIT!$C:$C,$A58,BD_REVIT!$F:$F,J$4)</f>
        <v>8</v>
      </c>
      <c r="K58" s="13" t="n">
        <f aca="false">SUMIFS(BD_REVIT!$H:$H,BD_REVIT!$C:$C,$A58,BD_REVIT!$F:$F,K$4)</f>
        <v>8</v>
      </c>
      <c r="L58" s="13" t="n">
        <f aca="false">SUMIFS(BD_REVIT!$H:$H,BD_REVIT!$C:$C,$A58,BD_REVIT!$F:$F,L$4)</f>
        <v>8</v>
      </c>
      <c r="M58" s="13" t="n">
        <f aca="false">SUMIFS(BD_REVIT!$H:$H,BD_REVIT!$C:$C,$A58,BD_REVIT!$F:$F,M$4)</f>
        <v>8</v>
      </c>
      <c r="N58" s="13" t="n">
        <f aca="false">SUMIFS(BD_REVIT!$H:$H,BD_REVIT!$C:$C,$A58,BD_REVIT!$F:$F,N$4)</f>
        <v>8</v>
      </c>
      <c r="O58" s="13" t="n">
        <f aca="false">SUMIFS(BD_REVIT!$H:$H,BD_REVIT!$C:$C,$A58,BD_REVIT!$F:$F,O$4)</f>
        <v>8</v>
      </c>
      <c r="P58" s="13" t="n">
        <f aca="false">SUMIFS(BD_REVIT!$H:$H,BD_REVIT!$C:$C,$A58,BD_REVIT!$F:$F,P$4)</f>
        <v>8</v>
      </c>
      <c r="Q58" s="13" t="n">
        <f aca="false">SUMIFS(BD_REVIT!$H:$H,BD_REVIT!$C:$C,$A58,BD_REVIT!$F:$F,Q$4)</f>
        <v>8</v>
      </c>
      <c r="R58" s="13" t="n">
        <f aca="false">SUMIFS(BD_REVIT!$H:$H,BD_REVIT!$C:$C,$A58,BD_REVIT!$F:$F,R$4)</f>
        <v>8</v>
      </c>
      <c r="S58" s="13" t="n">
        <f aca="false">SUMIFS(BD_REVIT!$H:$H,BD_REVIT!$C:$C,$A58,BD_REVIT!$F:$F,S$4)</f>
        <v>8</v>
      </c>
      <c r="T58" s="13" t="n">
        <f aca="false">SUMIFS(BD_REVIT!$H:$H,BD_REVIT!$C:$C,$A58,BD_REVIT!$F:$F,T$4)</f>
        <v>8</v>
      </c>
      <c r="U58" s="13" t="n">
        <f aca="false">SUMIFS(BD_REVIT!$H:$H,BD_REVIT!$C:$C,$A58,BD_REVIT!$F:$F,U$4)</f>
        <v>8</v>
      </c>
      <c r="V58" s="13" t="n">
        <f aca="false">SUMIFS(BD_REVIT!$H:$H,BD_REVIT!$C:$C,$A58,BD_REVIT!$F:$F,V$4)</f>
        <v>8</v>
      </c>
      <c r="W58" s="13" t="n">
        <f aca="false">SUMIFS(BD_REVIT!$H:$H,BD_REVIT!$C:$C,$A58,BD_REVIT!$F:$F,W$4)</f>
        <v>0</v>
      </c>
      <c r="X58" s="13" t="n">
        <f aca="false">SUMIFS(BD_REVIT!$H:$H,BD_REVIT!$C:$C,$A58,BD_REVIT!$F:$F,X$4)</f>
        <v>0</v>
      </c>
      <c r="Y58" s="13" t="n">
        <f aca="false">SUMIFS(BD_REVIT!$H:$H,BD_REVIT!$C:$C,$A58,BD_REVIT!$F:$F,Y$4)</f>
        <v>0</v>
      </c>
      <c r="Z58" s="52" t="n">
        <f aca="false">SUM(D58:Y58)</f>
        <v>132</v>
      </c>
      <c r="AA58" s="13" t="n">
        <f aca="false">NIVEL!D449</f>
        <v>132</v>
      </c>
      <c r="AB58" s="13" t="n">
        <f aca="false">ROUND(Z58-AA58,2)</f>
        <v>0</v>
      </c>
    </row>
    <row r="59" customFormat="false" ht="15" hidden="false" customHeight="false" outlineLevel="0" collapsed="false">
      <c r="A59" s="10" t="s">
        <v>795</v>
      </c>
      <c r="B59" s="51" t="s">
        <v>796</v>
      </c>
      <c r="C59" s="10" t="s">
        <v>61</v>
      </c>
      <c r="D59" s="13" t="n">
        <f aca="false">SUMIFS(BD_REVIT!$H:$H,BD_REVIT!$C:$C,$A59,BD_REVIT!$F:$F,D$4)</f>
        <v>0</v>
      </c>
      <c r="E59" s="13" t="n">
        <f aca="false">SUMIFS(BD_REVIT!$H:$H,BD_REVIT!$C:$C,$A59,BD_REVIT!$F:$F,E$4)</f>
        <v>0</v>
      </c>
      <c r="F59" s="13" t="n">
        <f aca="false">SUMIFS(BD_REVIT!$H:$H,BD_REVIT!$C:$C,$A59,BD_REVIT!$F:$F,F$4)</f>
        <v>0</v>
      </c>
      <c r="G59" s="13" t="n">
        <f aca="false">SUMIFS(BD_REVIT!$H:$H,BD_REVIT!$C:$C,$A59,BD_REVIT!$F:$F,G$4)</f>
        <v>0</v>
      </c>
      <c r="H59" s="13" t="n">
        <f aca="false">SUMIFS(BD_REVIT!$H:$H,BD_REVIT!$C:$C,$A59,BD_REVIT!$F:$F,H$4)</f>
        <v>0</v>
      </c>
      <c r="I59" s="13" t="n">
        <f aca="false">SUMIFS(BD_REVIT!$H:$H,BD_REVIT!$C:$C,$A59,BD_REVIT!$F:$F,I$4)</f>
        <v>0</v>
      </c>
      <c r="J59" s="13" t="n">
        <f aca="false">SUMIFS(BD_REVIT!$H:$H,BD_REVIT!$C:$C,$A59,BD_REVIT!$F:$F,J$4)</f>
        <v>0</v>
      </c>
      <c r="K59" s="13" t="n">
        <f aca="false">SUMIFS(BD_REVIT!$H:$H,BD_REVIT!$C:$C,$A59,BD_REVIT!$F:$F,K$4)</f>
        <v>0</v>
      </c>
      <c r="L59" s="13" t="n">
        <f aca="false">SUMIFS(BD_REVIT!$H:$H,BD_REVIT!$C:$C,$A59,BD_REVIT!$F:$F,L$4)</f>
        <v>0</v>
      </c>
      <c r="M59" s="13" t="n">
        <f aca="false">SUMIFS(BD_REVIT!$H:$H,BD_REVIT!$C:$C,$A59,BD_REVIT!$F:$F,M$4)</f>
        <v>0</v>
      </c>
      <c r="N59" s="13" t="n">
        <f aca="false">SUMIFS(BD_REVIT!$H:$H,BD_REVIT!$C:$C,$A59,BD_REVIT!$F:$F,N$4)</f>
        <v>0</v>
      </c>
      <c r="O59" s="13" t="n">
        <f aca="false">SUMIFS(BD_REVIT!$H:$H,BD_REVIT!$C:$C,$A59,BD_REVIT!$F:$F,O$4)</f>
        <v>0</v>
      </c>
      <c r="P59" s="13" t="n">
        <f aca="false">SUMIFS(BD_REVIT!$H:$H,BD_REVIT!$C:$C,$A59,BD_REVIT!$F:$F,P$4)</f>
        <v>0</v>
      </c>
      <c r="Q59" s="13" t="n">
        <f aca="false">SUMIFS(BD_REVIT!$H:$H,BD_REVIT!$C:$C,$A59,BD_REVIT!$F:$F,Q$4)</f>
        <v>0</v>
      </c>
      <c r="R59" s="13" t="n">
        <f aca="false">SUMIFS(BD_REVIT!$H:$H,BD_REVIT!$C:$C,$A59,BD_REVIT!$F:$F,R$4)</f>
        <v>0</v>
      </c>
      <c r="S59" s="13" t="n">
        <f aca="false">SUMIFS(BD_REVIT!$H:$H,BD_REVIT!$C:$C,$A59,BD_REVIT!$F:$F,S$4)</f>
        <v>0</v>
      </c>
      <c r="T59" s="13" t="n">
        <f aca="false">SUMIFS(BD_REVIT!$H:$H,BD_REVIT!$C:$C,$A59,BD_REVIT!$F:$F,T$4)</f>
        <v>0</v>
      </c>
      <c r="U59" s="13" t="n">
        <f aca="false">SUMIFS(BD_REVIT!$H:$H,BD_REVIT!$C:$C,$A59,BD_REVIT!$F:$F,U$4)</f>
        <v>0</v>
      </c>
      <c r="V59" s="13" t="n">
        <f aca="false">SUMIFS(BD_REVIT!$H:$H,BD_REVIT!$C:$C,$A59,BD_REVIT!$F:$F,V$4)</f>
        <v>0</v>
      </c>
      <c r="W59" s="13" t="n">
        <f aca="false">SUMIFS(BD_REVIT!$H:$H,BD_REVIT!$C:$C,$A59,BD_REVIT!$F:$F,W$4)</f>
        <v>0</v>
      </c>
      <c r="X59" s="13" t="n">
        <f aca="false">SUMIFS(BD_REVIT!$H:$H,BD_REVIT!$C:$C,$A59,BD_REVIT!$F:$F,X$4)</f>
        <v>0</v>
      </c>
      <c r="Y59" s="13" t="n">
        <f aca="false">SUMIFS(BD_REVIT!$H:$H,BD_REVIT!$C:$C,$A59,BD_REVIT!$F:$F,Y$4)</f>
        <v>0</v>
      </c>
      <c r="Z59" s="52" t="n">
        <f aca="false">SUM(D59:Y59)</f>
        <v>0</v>
      </c>
      <c r="AA59" s="13" t="n">
        <f aca="false">NIVEL!D450</f>
        <v>0</v>
      </c>
      <c r="AB59" s="13" t="n">
        <f aca="false">ROUND(Z59-AA59,2)</f>
        <v>0</v>
      </c>
    </row>
    <row r="60" customFormat="false" ht="15" hidden="false" customHeight="false" outlineLevel="0" collapsed="false">
      <c r="A60" s="10" t="s">
        <v>797</v>
      </c>
      <c r="B60" s="51" t="s">
        <v>798</v>
      </c>
      <c r="C60" s="10" t="s">
        <v>61</v>
      </c>
      <c r="D60" s="13" t="n">
        <f aca="false">SUMIFS(BD_REVIT!$H:$H,BD_REVIT!$C:$C,$A60,BD_REVIT!$F:$F,D$4)</f>
        <v>1</v>
      </c>
      <c r="E60" s="13" t="n">
        <f aca="false">SUMIFS(BD_REVIT!$H:$H,BD_REVIT!$C:$C,$A60,BD_REVIT!$F:$F,E$4)</f>
        <v>1</v>
      </c>
      <c r="F60" s="13" t="n">
        <f aca="false">SUMIFS(BD_REVIT!$H:$H,BD_REVIT!$C:$C,$A60,BD_REVIT!$F:$F,F$4)</f>
        <v>1</v>
      </c>
      <c r="G60" s="13" t="n">
        <f aca="false">SUMIFS(BD_REVIT!$H:$H,BD_REVIT!$C:$C,$A60,BD_REVIT!$F:$F,G$4)</f>
        <v>1</v>
      </c>
      <c r="H60" s="13" t="n">
        <f aca="false">SUMIFS(BD_REVIT!$H:$H,BD_REVIT!$C:$C,$A60,BD_REVIT!$F:$F,H$4)</f>
        <v>1</v>
      </c>
      <c r="I60" s="13" t="n">
        <f aca="false">SUMIFS(BD_REVIT!$H:$H,BD_REVIT!$C:$C,$A60,BD_REVIT!$F:$F,I$4)</f>
        <v>2</v>
      </c>
      <c r="J60" s="13" t="n">
        <f aca="false">SUMIFS(BD_REVIT!$H:$H,BD_REVIT!$C:$C,$A60,BD_REVIT!$F:$F,J$4)</f>
        <v>2</v>
      </c>
      <c r="K60" s="13" t="n">
        <f aca="false">SUMIFS(BD_REVIT!$H:$H,BD_REVIT!$C:$C,$A60,BD_REVIT!$F:$F,K$4)</f>
        <v>2</v>
      </c>
      <c r="L60" s="13" t="n">
        <f aca="false">SUMIFS(BD_REVIT!$H:$H,BD_REVIT!$C:$C,$A60,BD_REVIT!$F:$F,L$4)</f>
        <v>2</v>
      </c>
      <c r="M60" s="13" t="n">
        <f aca="false">SUMIFS(BD_REVIT!$H:$H,BD_REVIT!$C:$C,$A60,BD_REVIT!$F:$F,M$4)</f>
        <v>2</v>
      </c>
      <c r="N60" s="13" t="n">
        <f aca="false">SUMIFS(BD_REVIT!$H:$H,BD_REVIT!$C:$C,$A60,BD_REVIT!$F:$F,N$4)</f>
        <v>2</v>
      </c>
      <c r="O60" s="13" t="n">
        <f aca="false">SUMIFS(BD_REVIT!$H:$H,BD_REVIT!$C:$C,$A60,BD_REVIT!$F:$F,O$4)</f>
        <v>2</v>
      </c>
      <c r="P60" s="13" t="n">
        <f aca="false">SUMIFS(BD_REVIT!$H:$H,BD_REVIT!$C:$C,$A60,BD_REVIT!$F:$F,P$4)</f>
        <v>2</v>
      </c>
      <c r="Q60" s="13" t="n">
        <f aca="false">SUMIFS(BD_REVIT!$H:$H,BD_REVIT!$C:$C,$A60,BD_REVIT!$F:$F,Q$4)</f>
        <v>2</v>
      </c>
      <c r="R60" s="13" t="n">
        <f aca="false">SUMIFS(BD_REVIT!$H:$H,BD_REVIT!$C:$C,$A60,BD_REVIT!$F:$F,R$4)</f>
        <v>2</v>
      </c>
      <c r="S60" s="13" t="n">
        <f aca="false">SUMIFS(BD_REVIT!$H:$H,BD_REVIT!$C:$C,$A60,BD_REVIT!$F:$F,S$4)</f>
        <v>2</v>
      </c>
      <c r="T60" s="13" t="n">
        <f aca="false">SUMIFS(BD_REVIT!$H:$H,BD_REVIT!$C:$C,$A60,BD_REVIT!$F:$F,T$4)</f>
        <v>2</v>
      </c>
      <c r="U60" s="13" t="n">
        <f aca="false">SUMIFS(BD_REVIT!$H:$H,BD_REVIT!$C:$C,$A60,BD_REVIT!$F:$F,U$4)</f>
        <v>2</v>
      </c>
      <c r="V60" s="13" t="n">
        <f aca="false">SUMIFS(BD_REVIT!$H:$H,BD_REVIT!$C:$C,$A60,BD_REVIT!$F:$F,V$4)</f>
        <v>2</v>
      </c>
      <c r="W60" s="13" t="n">
        <f aca="false">SUMIFS(BD_REVIT!$H:$H,BD_REVIT!$C:$C,$A60,BD_REVIT!$F:$F,W$4)</f>
        <v>0</v>
      </c>
      <c r="X60" s="13" t="n">
        <f aca="false">SUMIFS(BD_REVIT!$H:$H,BD_REVIT!$C:$C,$A60,BD_REVIT!$F:$F,X$4)</f>
        <v>0</v>
      </c>
      <c r="Y60" s="13" t="n">
        <f aca="false">SUMIFS(BD_REVIT!$H:$H,BD_REVIT!$C:$C,$A60,BD_REVIT!$F:$F,Y$4)</f>
        <v>0</v>
      </c>
      <c r="Z60" s="52" t="n">
        <f aca="false">SUM(D60:Y60)</f>
        <v>33</v>
      </c>
      <c r="AA60" s="13" t="n">
        <f aca="false">NIVEL!D451</f>
        <v>33</v>
      </c>
      <c r="AB60" s="13" t="n">
        <f aca="false">ROUND(Z60-AA60,2)</f>
        <v>0</v>
      </c>
    </row>
    <row r="61" customFormat="false" ht="15" hidden="false" customHeight="false" outlineLevel="0" collapsed="false">
      <c r="A61" s="10" t="s">
        <v>799</v>
      </c>
      <c r="B61" s="51" t="s">
        <v>800</v>
      </c>
      <c r="C61" s="10" t="s">
        <v>61</v>
      </c>
      <c r="D61" s="13" t="n">
        <f aca="false">SUMIFS(BD_REVIT!$H:$H,BD_REVIT!$C:$C,$A61,BD_REVIT!$F:$F,D$4)</f>
        <v>1</v>
      </c>
      <c r="E61" s="13" t="n">
        <f aca="false">SUMIFS(BD_REVIT!$H:$H,BD_REVIT!$C:$C,$A61,BD_REVIT!$F:$F,E$4)</f>
        <v>1</v>
      </c>
      <c r="F61" s="13" t="n">
        <f aca="false">SUMIFS(BD_REVIT!$H:$H,BD_REVIT!$C:$C,$A61,BD_REVIT!$F:$F,F$4)</f>
        <v>1</v>
      </c>
      <c r="G61" s="13" t="n">
        <f aca="false">SUMIFS(BD_REVIT!$H:$H,BD_REVIT!$C:$C,$A61,BD_REVIT!$F:$F,G$4)</f>
        <v>1</v>
      </c>
      <c r="H61" s="13" t="n">
        <f aca="false">SUMIFS(BD_REVIT!$H:$H,BD_REVIT!$C:$C,$A61,BD_REVIT!$F:$F,H$4)</f>
        <v>1</v>
      </c>
      <c r="I61" s="13" t="n">
        <f aca="false">SUMIFS(BD_REVIT!$H:$H,BD_REVIT!$C:$C,$A61,BD_REVIT!$F:$F,I$4)</f>
        <v>2</v>
      </c>
      <c r="J61" s="13" t="n">
        <f aca="false">SUMIFS(BD_REVIT!$H:$H,BD_REVIT!$C:$C,$A61,BD_REVIT!$F:$F,J$4)</f>
        <v>2</v>
      </c>
      <c r="K61" s="13" t="n">
        <f aca="false">SUMIFS(BD_REVIT!$H:$H,BD_REVIT!$C:$C,$A61,BD_REVIT!$F:$F,K$4)</f>
        <v>2</v>
      </c>
      <c r="L61" s="13" t="n">
        <f aca="false">SUMIFS(BD_REVIT!$H:$H,BD_REVIT!$C:$C,$A61,BD_REVIT!$F:$F,L$4)</f>
        <v>2</v>
      </c>
      <c r="M61" s="13" t="n">
        <f aca="false">SUMIFS(BD_REVIT!$H:$H,BD_REVIT!$C:$C,$A61,BD_REVIT!$F:$F,M$4)</f>
        <v>2</v>
      </c>
      <c r="N61" s="13" t="n">
        <f aca="false">SUMIFS(BD_REVIT!$H:$H,BD_REVIT!$C:$C,$A61,BD_REVIT!$F:$F,N$4)</f>
        <v>2</v>
      </c>
      <c r="O61" s="13" t="n">
        <f aca="false">SUMIFS(BD_REVIT!$H:$H,BD_REVIT!$C:$C,$A61,BD_REVIT!$F:$F,O$4)</f>
        <v>2</v>
      </c>
      <c r="P61" s="13" t="n">
        <f aca="false">SUMIFS(BD_REVIT!$H:$H,BD_REVIT!$C:$C,$A61,BD_REVIT!$F:$F,P$4)</f>
        <v>2</v>
      </c>
      <c r="Q61" s="13" t="n">
        <f aca="false">SUMIFS(BD_REVIT!$H:$H,BD_REVIT!$C:$C,$A61,BD_REVIT!$F:$F,Q$4)</f>
        <v>2</v>
      </c>
      <c r="R61" s="13" t="n">
        <f aca="false">SUMIFS(BD_REVIT!$H:$H,BD_REVIT!$C:$C,$A61,BD_REVIT!$F:$F,R$4)</f>
        <v>2</v>
      </c>
      <c r="S61" s="13" t="n">
        <f aca="false">SUMIFS(BD_REVIT!$H:$H,BD_REVIT!$C:$C,$A61,BD_REVIT!$F:$F,S$4)</f>
        <v>2</v>
      </c>
      <c r="T61" s="13" t="n">
        <f aca="false">SUMIFS(BD_REVIT!$H:$H,BD_REVIT!$C:$C,$A61,BD_REVIT!$F:$F,T$4)</f>
        <v>2</v>
      </c>
      <c r="U61" s="13" t="n">
        <f aca="false">SUMIFS(BD_REVIT!$H:$H,BD_REVIT!$C:$C,$A61,BD_REVIT!$F:$F,U$4)</f>
        <v>2</v>
      </c>
      <c r="V61" s="13" t="n">
        <f aca="false">SUMIFS(BD_REVIT!$H:$H,BD_REVIT!$C:$C,$A61,BD_REVIT!$F:$F,V$4)</f>
        <v>2</v>
      </c>
      <c r="W61" s="13" t="n">
        <f aca="false">SUMIFS(BD_REVIT!$H:$H,BD_REVIT!$C:$C,$A61,BD_REVIT!$F:$F,W$4)</f>
        <v>0</v>
      </c>
      <c r="X61" s="13" t="n">
        <f aca="false">SUMIFS(BD_REVIT!$H:$H,BD_REVIT!$C:$C,$A61,BD_REVIT!$F:$F,X$4)</f>
        <v>0</v>
      </c>
      <c r="Y61" s="13" t="n">
        <f aca="false">SUMIFS(BD_REVIT!$H:$H,BD_REVIT!$C:$C,$A61,BD_REVIT!$F:$F,Y$4)</f>
        <v>0</v>
      </c>
      <c r="Z61" s="52" t="n">
        <f aca="false">SUM(D61:Y61)</f>
        <v>33</v>
      </c>
      <c r="AA61" s="13" t="n">
        <f aca="false">NIVEL!D452</f>
        <v>33</v>
      </c>
      <c r="AB61" s="13" t="n">
        <f aca="false">ROUND(Z61-AA61,2)</f>
        <v>0</v>
      </c>
    </row>
    <row r="62" customFormat="false" ht="15" hidden="false" customHeight="false" outlineLevel="0" collapsed="false">
      <c r="A62" s="10" t="s">
        <v>801</v>
      </c>
      <c r="B62" s="51" t="s">
        <v>802</v>
      </c>
      <c r="C62" s="10" t="s">
        <v>61</v>
      </c>
      <c r="D62" s="13" t="n">
        <f aca="false">SUMIFS(BD_REVIT!$H:$H,BD_REVIT!$C:$C,$A62,BD_REVIT!$F:$F,D$4)</f>
        <v>0</v>
      </c>
      <c r="E62" s="13" t="n">
        <f aca="false">SUMIFS(BD_REVIT!$H:$H,BD_REVIT!$C:$C,$A62,BD_REVIT!$F:$F,E$4)</f>
        <v>5</v>
      </c>
      <c r="F62" s="13" t="n">
        <f aca="false">SUMIFS(BD_REVIT!$H:$H,BD_REVIT!$C:$C,$A62,BD_REVIT!$F:$F,F$4)</f>
        <v>0</v>
      </c>
      <c r="G62" s="13" t="n">
        <f aca="false">SUMIFS(BD_REVIT!$H:$H,BD_REVIT!$C:$C,$A62,BD_REVIT!$F:$F,G$4)</f>
        <v>37</v>
      </c>
      <c r="H62" s="13" t="n">
        <f aca="false">SUMIFS(BD_REVIT!$H:$H,BD_REVIT!$C:$C,$A62,BD_REVIT!$F:$F,H$4)</f>
        <v>52</v>
      </c>
      <c r="I62" s="13" t="n">
        <f aca="false">SUMIFS(BD_REVIT!$H:$H,BD_REVIT!$C:$C,$A62,BD_REVIT!$F:$F,I$4)</f>
        <v>51</v>
      </c>
      <c r="J62" s="13" t="n">
        <f aca="false">SUMIFS(BD_REVIT!$H:$H,BD_REVIT!$C:$C,$A62,BD_REVIT!$F:$F,J$4)</f>
        <v>42</v>
      </c>
      <c r="K62" s="13" t="n">
        <f aca="false">SUMIFS(BD_REVIT!$H:$H,BD_REVIT!$C:$C,$A62,BD_REVIT!$F:$F,K$4)</f>
        <v>6</v>
      </c>
      <c r="L62" s="13" t="n">
        <f aca="false">SUMIFS(BD_REVIT!$H:$H,BD_REVIT!$C:$C,$A62,BD_REVIT!$F:$F,L$4)</f>
        <v>0</v>
      </c>
      <c r="M62" s="13" t="n">
        <f aca="false">SUMIFS(BD_REVIT!$H:$H,BD_REVIT!$C:$C,$A62,BD_REVIT!$F:$F,M$4)</f>
        <v>0</v>
      </c>
      <c r="N62" s="13" t="n">
        <f aca="false">SUMIFS(BD_REVIT!$H:$H,BD_REVIT!$C:$C,$A62,BD_REVIT!$F:$F,N$4)</f>
        <v>0</v>
      </c>
      <c r="O62" s="13" t="n">
        <f aca="false">SUMIFS(BD_REVIT!$H:$H,BD_REVIT!$C:$C,$A62,BD_REVIT!$F:$F,O$4)</f>
        <v>0</v>
      </c>
      <c r="P62" s="13" t="n">
        <f aca="false">SUMIFS(BD_REVIT!$H:$H,BD_REVIT!$C:$C,$A62,BD_REVIT!$F:$F,P$4)</f>
        <v>0</v>
      </c>
      <c r="Q62" s="13" t="n">
        <f aca="false">SUMIFS(BD_REVIT!$H:$H,BD_REVIT!$C:$C,$A62,BD_REVIT!$F:$F,Q$4)</f>
        <v>0</v>
      </c>
      <c r="R62" s="13" t="n">
        <f aca="false">SUMIFS(BD_REVIT!$H:$H,BD_REVIT!$C:$C,$A62,BD_REVIT!$F:$F,R$4)</f>
        <v>0</v>
      </c>
      <c r="S62" s="13" t="n">
        <f aca="false">SUMIFS(BD_REVIT!$H:$H,BD_REVIT!$C:$C,$A62,BD_REVIT!$F:$F,S$4)</f>
        <v>0</v>
      </c>
      <c r="T62" s="13" t="n">
        <f aca="false">SUMIFS(BD_REVIT!$H:$H,BD_REVIT!$C:$C,$A62,BD_REVIT!$F:$F,T$4)</f>
        <v>0</v>
      </c>
      <c r="U62" s="13" t="n">
        <f aca="false">SUMIFS(BD_REVIT!$H:$H,BD_REVIT!$C:$C,$A62,BD_REVIT!$F:$F,U$4)</f>
        <v>0</v>
      </c>
      <c r="V62" s="13" t="n">
        <f aca="false">SUMIFS(BD_REVIT!$H:$H,BD_REVIT!$C:$C,$A62,BD_REVIT!$F:$F,V$4)</f>
        <v>0</v>
      </c>
      <c r="W62" s="13" t="n">
        <f aca="false">SUMIFS(BD_REVIT!$H:$H,BD_REVIT!$C:$C,$A62,BD_REVIT!$F:$F,W$4)</f>
        <v>0</v>
      </c>
      <c r="X62" s="13" t="n">
        <f aca="false">SUMIFS(BD_REVIT!$H:$H,BD_REVIT!$C:$C,$A62,BD_REVIT!$F:$F,X$4)</f>
        <v>0</v>
      </c>
      <c r="Y62" s="13" t="n">
        <f aca="false">SUMIFS(BD_REVIT!$H:$H,BD_REVIT!$C:$C,$A62,BD_REVIT!$F:$F,Y$4)</f>
        <v>0</v>
      </c>
      <c r="Z62" s="52" t="n">
        <f aca="false">SUM(D62:Y62)</f>
        <v>193</v>
      </c>
      <c r="AA62" s="13" t="n">
        <f aca="false">NIVEL!D453</f>
        <v>193</v>
      </c>
      <c r="AB62" s="13" t="n">
        <f aca="false">ROUND(Z62-AA62,2)</f>
        <v>0</v>
      </c>
    </row>
    <row r="63" customFormat="false" ht="15" hidden="false" customHeight="false" outlineLevel="0" collapsed="false">
      <c r="A63" s="10" t="s">
        <v>803</v>
      </c>
      <c r="B63" s="51" t="s">
        <v>804</v>
      </c>
      <c r="C63" s="10" t="s">
        <v>61</v>
      </c>
      <c r="D63" s="13" t="n">
        <f aca="false">SUMIFS(BD_REVIT!$H:$H,BD_REVIT!$C:$C,$A63,BD_REVIT!$F:$F,D$4)</f>
        <v>0</v>
      </c>
      <c r="E63" s="13" t="n">
        <f aca="false">SUMIFS(BD_REVIT!$H:$H,BD_REVIT!$C:$C,$A63,BD_REVIT!$F:$F,E$4)</f>
        <v>0</v>
      </c>
      <c r="F63" s="13" t="n">
        <f aca="false">SUMIFS(BD_REVIT!$H:$H,BD_REVIT!$C:$C,$A63,BD_REVIT!$F:$F,F$4)</f>
        <v>0</v>
      </c>
      <c r="G63" s="13" t="n">
        <f aca="false">SUMIFS(BD_REVIT!$H:$H,BD_REVIT!$C:$C,$A63,BD_REVIT!$F:$F,G$4)</f>
        <v>0</v>
      </c>
      <c r="H63" s="13" t="n">
        <f aca="false">SUMIFS(BD_REVIT!$H:$H,BD_REVIT!$C:$C,$A63,BD_REVIT!$F:$F,H$4)</f>
        <v>0</v>
      </c>
      <c r="I63" s="13" t="n">
        <f aca="false">SUMIFS(BD_REVIT!$H:$H,BD_REVIT!$C:$C,$A63,BD_REVIT!$F:$F,I$4)</f>
        <v>0</v>
      </c>
      <c r="J63" s="13" t="n">
        <f aca="false">SUMIFS(BD_REVIT!$H:$H,BD_REVIT!$C:$C,$A63,BD_REVIT!$F:$F,J$4)</f>
        <v>6</v>
      </c>
      <c r="K63" s="13" t="n">
        <f aca="false">SUMIFS(BD_REVIT!$H:$H,BD_REVIT!$C:$C,$A63,BD_REVIT!$F:$F,K$4)</f>
        <v>0</v>
      </c>
      <c r="L63" s="13" t="n">
        <f aca="false">SUMIFS(BD_REVIT!$H:$H,BD_REVIT!$C:$C,$A63,BD_REVIT!$F:$F,L$4)</f>
        <v>0</v>
      </c>
      <c r="M63" s="13" t="n">
        <f aca="false">SUMIFS(BD_REVIT!$H:$H,BD_REVIT!$C:$C,$A63,BD_REVIT!$F:$F,M$4)</f>
        <v>0</v>
      </c>
      <c r="N63" s="13" t="n">
        <f aca="false">SUMIFS(BD_REVIT!$H:$H,BD_REVIT!$C:$C,$A63,BD_REVIT!$F:$F,N$4)</f>
        <v>0</v>
      </c>
      <c r="O63" s="13" t="n">
        <f aca="false">SUMIFS(BD_REVIT!$H:$H,BD_REVIT!$C:$C,$A63,BD_REVIT!$F:$F,O$4)</f>
        <v>0</v>
      </c>
      <c r="P63" s="13" t="n">
        <f aca="false">SUMIFS(BD_REVIT!$H:$H,BD_REVIT!$C:$C,$A63,BD_REVIT!$F:$F,P$4)</f>
        <v>0</v>
      </c>
      <c r="Q63" s="13" t="n">
        <f aca="false">SUMIFS(BD_REVIT!$H:$H,BD_REVIT!$C:$C,$A63,BD_REVIT!$F:$F,Q$4)</f>
        <v>0</v>
      </c>
      <c r="R63" s="13" t="n">
        <f aca="false">SUMIFS(BD_REVIT!$H:$H,BD_REVIT!$C:$C,$A63,BD_REVIT!$F:$F,R$4)</f>
        <v>0</v>
      </c>
      <c r="S63" s="13" t="n">
        <f aca="false">SUMIFS(BD_REVIT!$H:$H,BD_REVIT!$C:$C,$A63,BD_REVIT!$F:$F,S$4)</f>
        <v>0</v>
      </c>
      <c r="T63" s="13" t="n">
        <f aca="false">SUMIFS(BD_REVIT!$H:$H,BD_REVIT!$C:$C,$A63,BD_REVIT!$F:$F,T$4)</f>
        <v>0</v>
      </c>
      <c r="U63" s="13" t="n">
        <f aca="false">SUMIFS(BD_REVIT!$H:$H,BD_REVIT!$C:$C,$A63,BD_REVIT!$F:$F,U$4)</f>
        <v>0</v>
      </c>
      <c r="V63" s="13" t="n">
        <f aca="false">SUMIFS(BD_REVIT!$H:$H,BD_REVIT!$C:$C,$A63,BD_REVIT!$F:$F,V$4)</f>
        <v>0</v>
      </c>
      <c r="W63" s="13" t="n">
        <f aca="false">SUMIFS(BD_REVIT!$H:$H,BD_REVIT!$C:$C,$A63,BD_REVIT!$F:$F,W$4)</f>
        <v>0</v>
      </c>
      <c r="X63" s="13" t="n">
        <f aca="false">SUMIFS(BD_REVIT!$H:$H,BD_REVIT!$C:$C,$A63,BD_REVIT!$F:$F,X$4)</f>
        <v>0</v>
      </c>
      <c r="Y63" s="13" t="n">
        <f aca="false">SUMIFS(BD_REVIT!$H:$H,BD_REVIT!$C:$C,$A63,BD_REVIT!$F:$F,Y$4)</f>
        <v>0</v>
      </c>
      <c r="Z63" s="52" t="n">
        <f aca="false">SUM(D63:Y63)</f>
        <v>6</v>
      </c>
      <c r="AA63" s="13" t="n">
        <f aca="false">NIVEL!D454</f>
        <v>6</v>
      </c>
      <c r="AB63" s="13" t="n">
        <f aca="false">ROUND(Z63-AA63,2)</f>
        <v>0</v>
      </c>
    </row>
    <row r="64" customFormat="false" ht="15" hidden="false" customHeight="false" outlineLevel="0" collapsed="false">
      <c r="A64" s="10" t="s">
        <v>805</v>
      </c>
      <c r="B64" s="51" t="s">
        <v>806</v>
      </c>
      <c r="C64" s="10" t="s">
        <v>61</v>
      </c>
      <c r="D64" s="13" t="n">
        <f aca="false">SUMIFS(BD_REVIT!$H:$H,BD_REVIT!$C:$C,$A64,BD_REVIT!$F:$F,D$4)</f>
        <v>0</v>
      </c>
      <c r="E64" s="13" t="n">
        <f aca="false">SUMIFS(BD_REVIT!$H:$H,BD_REVIT!$C:$C,$A64,BD_REVIT!$F:$F,E$4)</f>
        <v>14</v>
      </c>
      <c r="F64" s="13" t="n">
        <f aca="false">SUMIFS(BD_REVIT!$H:$H,BD_REVIT!$C:$C,$A64,BD_REVIT!$F:$F,F$4)</f>
        <v>9</v>
      </c>
      <c r="G64" s="13" t="n">
        <f aca="false">SUMIFS(BD_REVIT!$H:$H,BD_REVIT!$C:$C,$A64,BD_REVIT!$F:$F,G$4)</f>
        <v>35</v>
      </c>
      <c r="H64" s="13" t="n">
        <f aca="false">SUMIFS(BD_REVIT!$H:$H,BD_REVIT!$C:$C,$A64,BD_REVIT!$F:$F,H$4)</f>
        <v>32</v>
      </c>
      <c r="I64" s="13" t="n">
        <f aca="false">SUMIFS(BD_REVIT!$H:$H,BD_REVIT!$C:$C,$A64,BD_REVIT!$F:$F,I$4)</f>
        <v>32</v>
      </c>
      <c r="J64" s="13" t="n">
        <f aca="false">SUMIFS(BD_REVIT!$H:$H,BD_REVIT!$C:$C,$A64,BD_REVIT!$F:$F,J$4)</f>
        <v>55</v>
      </c>
      <c r="K64" s="13" t="n">
        <f aca="false">SUMIFS(BD_REVIT!$H:$H,BD_REVIT!$C:$C,$A64,BD_REVIT!$F:$F,K$4)</f>
        <v>16</v>
      </c>
      <c r="L64" s="13" t="n">
        <f aca="false">SUMIFS(BD_REVIT!$H:$H,BD_REVIT!$C:$C,$A64,BD_REVIT!$F:$F,L$4)</f>
        <v>0</v>
      </c>
      <c r="M64" s="13" t="n">
        <f aca="false">SUMIFS(BD_REVIT!$H:$H,BD_REVIT!$C:$C,$A64,BD_REVIT!$F:$F,M$4)</f>
        <v>0</v>
      </c>
      <c r="N64" s="13" t="n">
        <f aca="false">SUMIFS(BD_REVIT!$H:$H,BD_REVIT!$C:$C,$A64,BD_REVIT!$F:$F,N$4)</f>
        <v>0</v>
      </c>
      <c r="O64" s="13" t="n">
        <f aca="false">SUMIFS(BD_REVIT!$H:$H,BD_REVIT!$C:$C,$A64,BD_REVIT!$F:$F,O$4)</f>
        <v>0</v>
      </c>
      <c r="P64" s="13" t="n">
        <f aca="false">SUMIFS(BD_REVIT!$H:$H,BD_REVIT!$C:$C,$A64,BD_REVIT!$F:$F,P$4)</f>
        <v>0</v>
      </c>
      <c r="Q64" s="13" t="n">
        <f aca="false">SUMIFS(BD_REVIT!$H:$H,BD_REVIT!$C:$C,$A64,BD_REVIT!$F:$F,Q$4)</f>
        <v>0</v>
      </c>
      <c r="R64" s="13" t="n">
        <f aca="false">SUMIFS(BD_REVIT!$H:$H,BD_REVIT!$C:$C,$A64,BD_REVIT!$F:$F,R$4)</f>
        <v>0</v>
      </c>
      <c r="S64" s="13" t="n">
        <f aca="false">SUMIFS(BD_REVIT!$H:$H,BD_REVIT!$C:$C,$A64,BD_REVIT!$F:$F,S$4)</f>
        <v>0</v>
      </c>
      <c r="T64" s="13" t="n">
        <f aca="false">SUMIFS(BD_REVIT!$H:$H,BD_REVIT!$C:$C,$A64,BD_REVIT!$F:$F,T$4)</f>
        <v>0</v>
      </c>
      <c r="U64" s="13" t="n">
        <f aca="false">SUMIFS(BD_REVIT!$H:$H,BD_REVIT!$C:$C,$A64,BD_REVIT!$F:$F,U$4)</f>
        <v>0</v>
      </c>
      <c r="V64" s="13" t="n">
        <f aca="false">SUMIFS(BD_REVIT!$H:$H,BD_REVIT!$C:$C,$A64,BD_REVIT!$F:$F,V$4)</f>
        <v>0</v>
      </c>
      <c r="W64" s="13" t="n">
        <f aca="false">SUMIFS(BD_REVIT!$H:$H,BD_REVIT!$C:$C,$A64,BD_REVIT!$F:$F,W$4)</f>
        <v>0</v>
      </c>
      <c r="X64" s="13" t="n">
        <f aca="false">SUMIFS(BD_REVIT!$H:$H,BD_REVIT!$C:$C,$A64,BD_REVIT!$F:$F,X$4)</f>
        <v>0</v>
      </c>
      <c r="Y64" s="13" t="n">
        <f aca="false">SUMIFS(BD_REVIT!$H:$H,BD_REVIT!$C:$C,$A64,BD_REVIT!$F:$F,Y$4)</f>
        <v>0</v>
      </c>
      <c r="Z64" s="52" t="n">
        <f aca="false">SUM(D64:Y64)</f>
        <v>193</v>
      </c>
      <c r="AA64" s="13" t="n">
        <f aca="false">NIVEL!D455</f>
        <v>193</v>
      </c>
      <c r="AB64" s="13" t="n">
        <f aca="false">ROUND(Z64-AA64,2)</f>
        <v>0</v>
      </c>
    </row>
    <row r="65" customFormat="false" ht="15" hidden="false" customHeight="false" outlineLevel="0" collapsed="false">
      <c r="A65" s="10" t="s">
        <v>807</v>
      </c>
      <c r="B65" s="51" t="s">
        <v>808</v>
      </c>
      <c r="C65" s="10" t="s">
        <v>61</v>
      </c>
      <c r="D65" s="13" t="n">
        <f aca="false">SUMIFS(BD_REVIT!$H:$H,BD_REVIT!$C:$C,$A65,BD_REVIT!$F:$F,D$4)</f>
        <v>0</v>
      </c>
      <c r="E65" s="13" t="n">
        <f aca="false">SUMIFS(BD_REVIT!$H:$H,BD_REVIT!$C:$C,$A65,BD_REVIT!$F:$F,E$4)</f>
        <v>0</v>
      </c>
      <c r="F65" s="13" t="n">
        <f aca="false">SUMIFS(BD_REVIT!$H:$H,BD_REVIT!$C:$C,$A65,BD_REVIT!$F:$F,F$4)</f>
        <v>0</v>
      </c>
      <c r="G65" s="13" t="n">
        <f aca="false">SUMIFS(BD_REVIT!$H:$H,BD_REVIT!$C:$C,$A65,BD_REVIT!$F:$F,G$4)</f>
        <v>0</v>
      </c>
      <c r="H65" s="13" t="n">
        <f aca="false">SUMIFS(BD_REVIT!$H:$H,BD_REVIT!$C:$C,$A65,BD_REVIT!$F:$F,H$4)</f>
        <v>0</v>
      </c>
      <c r="I65" s="13" t="n">
        <f aca="false">SUMIFS(BD_REVIT!$H:$H,BD_REVIT!$C:$C,$A65,BD_REVIT!$F:$F,I$4)</f>
        <v>0</v>
      </c>
      <c r="J65" s="13" t="n">
        <f aca="false">SUMIFS(BD_REVIT!$H:$H,BD_REVIT!$C:$C,$A65,BD_REVIT!$F:$F,J$4)</f>
        <v>0</v>
      </c>
      <c r="K65" s="13" t="n">
        <f aca="false">SUMIFS(BD_REVIT!$H:$H,BD_REVIT!$C:$C,$A65,BD_REVIT!$F:$F,K$4)</f>
        <v>0</v>
      </c>
      <c r="L65" s="13" t="n">
        <f aca="false">SUMIFS(BD_REVIT!$H:$H,BD_REVIT!$C:$C,$A65,BD_REVIT!$F:$F,L$4)</f>
        <v>0</v>
      </c>
      <c r="M65" s="13" t="n">
        <f aca="false">SUMIFS(BD_REVIT!$H:$H,BD_REVIT!$C:$C,$A65,BD_REVIT!$F:$F,M$4)</f>
        <v>0</v>
      </c>
      <c r="N65" s="13" t="n">
        <f aca="false">SUMIFS(BD_REVIT!$H:$H,BD_REVIT!$C:$C,$A65,BD_REVIT!$F:$F,N$4)</f>
        <v>0</v>
      </c>
      <c r="O65" s="13" t="n">
        <f aca="false">SUMIFS(BD_REVIT!$H:$H,BD_REVIT!$C:$C,$A65,BD_REVIT!$F:$F,O$4)</f>
        <v>0</v>
      </c>
      <c r="P65" s="13" t="n">
        <f aca="false">SUMIFS(BD_REVIT!$H:$H,BD_REVIT!$C:$C,$A65,BD_REVIT!$F:$F,P$4)</f>
        <v>0</v>
      </c>
      <c r="Q65" s="13" t="n">
        <f aca="false">SUMIFS(BD_REVIT!$H:$H,BD_REVIT!$C:$C,$A65,BD_REVIT!$F:$F,Q$4)</f>
        <v>0</v>
      </c>
      <c r="R65" s="13" t="n">
        <f aca="false">SUMIFS(BD_REVIT!$H:$H,BD_REVIT!$C:$C,$A65,BD_REVIT!$F:$F,R$4)</f>
        <v>0</v>
      </c>
      <c r="S65" s="13" t="n">
        <f aca="false">SUMIFS(BD_REVIT!$H:$H,BD_REVIT!$C:$C,$A65,BD_REVIT!$F:$F,S$4)</f>
        <v>0</v>
      </c>
      <c r="T65" s="13" t="n">
        <f aca="false">SUMIFS(BD_REVIT!$H:$H,BD_REVIT!$C:$C,$A65,BD_REVIT!$F:$F,T$4)</f>
        <v>0</v>
      </c>
      <c r="U65" s="13" t="n">
        <f aca="false">SUMIFS(BD_REVIT!$H:$H,BD_REVIT!$C:$C,$A65,BD_REVIT!$F:$F,U$4)</f>
        <v>0</v>
      </c>
      <c r="V65" s="13" t="n">
        <f aca="false">SUMIFS(BD_REVIT!$H:$H,BD_REVIT!$C:$C,$A65,BD_REVIT!$F:$F,V$4)</f>
        <v>0</v>
      </c>
      <c r="W65" s="13" t="n">
        <f aca="false">SUMIFS(BD_REVIT!$H:$H,BD_REVIT!$C:$C,$A65,BD_REVIT!$F:$F,W$4)</f>
        <v>0</v>
      </c>
      <c r="X65" s="13" t="n">
        <f aca="false">SUMIFS(BD_REVIT!$H:$H,BD_REVIT!$C:$C,$A65,BD_REVIT!$F:$F,X$4)</f>
        <v>0</v>
      </c>
      <c r="Y65" s="13" t="n">
        <f aca="false">SUMIFS(BD_REVIT!$H:$H,BD_REVIT!$C:$C,$A65,BD_REVIT!$F:$F,Y$4)</f>
        <v>0</v>
      </c>
      <c r="Z65" s="52" t="n">
        <f aca="false">SUM(D65:Y65)</f>
        <v>0</v>
      </c>
      <c r="AA65" s="13" t="n">
        <f aca="false">NIVEL!D456</f>
        <v>0</v>
      </c>
      <c r="AB65" s="13" t="n">
        <f aca="false">ROUND(Z65-AA65,2)</f>
        <v>0</v>
      </c>
    </row>
    <row r="66" customFormat="false" ht="15" hidden="false" customHeight="false" outlineLevel="0" collapsed="false">
      <c r="A66" s="10" t="s">
        <v>809</v>
      </c>
      <c r="B66" s="51" t="s">
        <v>810</v>
      </c>
      <c r="C66" s="10" t="s">
        <v>61</v>
      </c>
      <c r="D66" s="13" t="n">
        <f aca="false">SUMIFS(BD_REVIT!$H:$H,BD_REVIT!$C:$C,$A66,BD_REVIT!$F:$F,D$4)</f>
        <v>2</v>
      </c>
      <c r="E66" s="13" t="n">
        <f aca="false">SUMIFS(BD_REVIT!$H:$H,BD_REVIT!$C:$C,$A66,BD_REVIT!$F:$F,E$4)</f>
        <v>0</v>
      </c>
      <c r="F66" s="13" t="n">
        <f aca="false">SUMIFS(BD_REVIT!$H:$H,BD_REVIT!$C:$C,$A66,BD_REVIT!$F:$F,F$4)</f>
        <v>0</v>
      </c>
      <c r="G66" s="13" t="n">
        <f aca="false">SUMIFS(BD_REVIT!$H:$H,BD_REVIT!$C:$C,$A66,BD_REVIT!$F:$F,G$4)</f>
        <v>0</v>
      </c>
      <c r="H66" s="13" t="n">
        <f aca="false">SUMIFS(BD_REVIT!$H:$H,BD_REVIT!$C:$C,$A66,BD_REVIT!$F:$F,H$4)</f>
        <v>0</v>
      </c>
      <c r="I66" s="13" t="n">
        <f aca="false">SUMIFS(BD_REVIT!$H:$H,BD_REVIT!$C:$C,$A66,BD_REVIT!$F:$F,I$4)</f>
        <v>0</v>
      </c>
      <c r="J66" s="13" t="n">
        <f aca="false">SUMIFS(BD_REVIT!$H:$H,BD_REVIT!$C:$C,$A66,BD_REVIT!$F:$F,J$4)</f>
        <v>0</v>
      </c>
      <c r="K66" s="13" t="n">
        <f aca="false">SUMIFS(BD_REVIT!$H:$H,BD_REVIT!$C:$C,$A66,BD_REVIT!$F:$F,K$4)</f>
        <v>0</v>
      </c>
      <c r="L66" s="13" t="n">
        <f aca="false">SUMIFS(BD_REVIT!$H:$H,BD_REVIT!$C:$C,$A66,BD_REVIT!$F:$F,L$4)</f>
        <v>0</v>
      </c>
      <c r="M66" s="13" t="n">
        <f aca="false">SUMIFS(BD_REVIT!$H:$H,BD_REVIT!$C:$C,$A66,BD_REVIT!$F:$F,M$4)</f>
        <v>0</v>
      </c>
      <c r="N66" s="13" t="n">
        <f aca="false">SUMIFS(BD_REVIT!$H:$H,BD_REVIT!$C:$C,$A66,BD_REVIT!$F:$F,N$4)</f>
        <v>0</v>
      </c>
      <c r="O66" s="13" t="n">
        <f aca="false">SUMIFS(BD_REVIT!$H:$H,BD_REVIT!$C:$C,$A66,BD_REVIT!$F:$F,O$4)</f>
        <v>0</v>
      </c>
      <c r="P66" s="13" t="n">
        <f aca="false">SUMIFS(BD_REVIT!$H:$H,BD_REVIT!$C:$C,$A66,BD_REVIT!$F:$F,P$4)</f>
        <v>0</v>
      </c>
      <c r="Q66" s="13" t="n">
        <f aca="false">SUMIFS(BD_REVIT!$H:$H,BD_REVIT!$C:$C,$A66,BD_REVIT!$F:$F,Q$4)</f>
        <v>0</v>
      </c>
      <c r="R66" s="13" t="n">
        <f aca="false">SUMIFS(BD_REVIT!$H:$H,BD_REVIT!$C:$C,$A66,BD_REVIT!$F:$F,R$4)</f>
        <v>0</v>
      </c>
      <c r="S66" s="13" t="n">
        <f aca="false">SUMIFS(BD_REVIT!$H:$H,BD_REVIT!$C:$C,$A66,BD_REVIT!$F:$F,S$4)</f>
        <v>0</v>
      </c>
      <c r="T66" s="13" t="n">
        <f aca="false">SUMIFS(BD_REVIT!$H:$H,BD_REVIT!$C:$C,$A66,BD_REVIT!$F:$F,T$4)</f>
        <v>0</v>
      </c>
      <c r="U66" s="13" t="n">
        <f aca="false">SUMIFS(BD_REVIT!$H:$H,BD_REVIT!$C:$C,$A66,BD_REVIT!$F:$F,U$4)</f>
        <v>0</v>
      </c>
      <c r="V66" s="13" t="n">
        <f aca="false">SUMIFS(BD_REVIT!$H:$H,BD_REVIT!$C:$C,$A66,BD_REVIT!$F:$F,V$4)</f>
        <v>0</v>
      </c>
      <c r="W66" s="13" t="n">
        <f aca="false">SUMIFS(BD_REVIT!$H:$H,BD_REVIT!$C:$C,$A66,BD_REVIT!$F:$F,W$4)</f>
        <v>0</v>
      </c>
      <c r="X66" s="13" t="n">
        <f aca="false">SUMIFS(BD_REVIT!$H:$H,BD_REVIT!$C:$C,$A66,BD_REVIT!$F:$F,X$4)</f>
        <v>0</v>
      </c>
      <c r="Y66" s="13" t="n">
        <f aca="false">SUMIFS(BD_REVIT!$H:$H,BD_REVIT!$C:$C,$A66,BD_REVIT!$F:$F,Y$4)</f>
        <v>0</v>
      </c>
      <c r="Z66" s="52" t="n">
        <f aca="false">SUM(D66:Y66)</f>
        <v>2</v>
      </c>
      <c r="AA66" s="13" t="n">
        <f aca="false">NIVEL!D457</f>
        <v>2</v>
      </c>
      <c r="AB66" s="13" t="n">
        <f aca="false">ROUND(Z66-AA66,2)</f>
        <v>0</v>
      </c>
    </row>
    <row r="67" customFormat="false" ht="15" hidden="false" customHeight="false" outlineLevel="0" collapsed="false">
      <c r="A67" s="10" t="s">
        <v>811</v>
      </c>
      <c r="B67" s="51" t="s">
        <v>812</v>
      </c>
      <c r="C67" s="10" t="s">
        <v>61</v>
      </c>
      <c r="D67" s="13" t="n">
        <f aca="false">SUMIFS(BD_REVIT!$H:$H,BD_REVIT!$C:$C,$A67,BD_REVIT!$F:$F,D$4)</f>
        <v>1</v>
      </c>
      <c r="E67" s="13" t="n">
        <f aca="false">SUMIFS(BD_REVIT!$H:$H,BD_REVIT!$C:$C,$A67,BD_REVIT!$F:$F,E$4)</f>
        <v>0</v>
      </c>
      <c r="F67" s="13" t="n">
        <f aca="false">SUMIFS(BD_REVIT!$H:$H,BD_REVIT!$C:$C,$A67,BD_REVIT!$F:$F,F$4)</f>
        <v>0</v>
      </c>
      <c r="G67" s="13" t="n">
        <f aca="false">SUMIFS(BD_REVIT!$H:$H,BD_REVIT!$C:$C,$A67,BD_REVIT!$F:$F,G$4)</f>
        <v>0</v>
      </c>
      <c r="H67" s="13" t="n">
        <f aca="false">SUMIFS(BD_REVIT!$H:$H,BD_REVIT!$C:$C,$A67,BD_REVIT!$F:$F,H$4)</f>
        <v>0</v>
      </c>
      <c r="I67" s="13" t="n">
        <f aca="false">SUMIFS(BD_REVIT!$H:$H,BD_REVIT!$C:$C,$A67,BD_REVIT!$F:$F,I$4)</f>
        <v>0</v>
      </c>
      <c r="J67" s="13" t="n">
        <f aca="false">SUMIFS(BD_REVIT!$H:$H,BD_REVIT!$C:$C,$A67,BD_REVIT!$F:$F,J$4)</f>
        <v>0</v>
      </c>
      <c r="K67" s="13" t="n">
        <f aca="false">SUMIFS(BD_REVIT!$H:$H,BD_REVIT!$C:$C,$A67,BD_REVIT!$F:$F,K$4)</f>
        <v>15</v>
      </c>
      <c r="L67" s="13" t="n">
        <f aca="false">SUMIFS(BD_REVIT!$H:$H,BD_REVIT!$C:$C,$A67,BD_REVIT!$F:$F,L$4)</f>
        <v>0</v>
      </c>
      <c r="M67" s="13" t="n">
        <f aca="false">SUMIFS(BD_REVIT!$H:$H,BD_REVIT!$C:$C,$A67,BD_REVIT!$F:$F,M$4)</f>
        <v>0</v>
      </c>
      <c r="N67" s="13" t="n">
        <f aca="false">SUMIFS(BD_REVIT!$H:$H,BD_REVIT!$C:$C,$A67,BD_REVIT!$F:$F,N$4)</f>
        <v>0</v>
      </c>
      <c r="O67" s="13" t="n">
        <f aca="false">SUMIFS(BD_REVIT!$H:$H,BD_REVIT!$C:$C,$A67,BD_REVIT!$F:$F,O$4)</f>
        <v>0</v>
      </c>
      <c r="P67" s="13" t="n">
        <f aca="false">SUMIFS(BD_REVIT!$H:$H,BD_REVIT!$C:$C,$A67,BD_REVIT!$F:$F,P$4)</f>
        <v>0</v>
      </c>
      <c r="Q67" s="13" t="n">
        <f aca="false">SUMIFS(BD_REVIT!$H:$H,BD_REVIT!$C:$C,$A67,BD_REVIT!$F:$F,Q$4)</f>
        <v>0</v>
      </c>
      <c r="R67" s="13" t="n">
        <f aca="false">SUMIFS(BD_REVIT!$H:$H,BD_REVIT!$C:$C,$A67,BD_REVIT!$F:$F,R$4)</f>
        <v>0</v>
      </c>
      <c r="S67" s="13" t="n">
        <f aca="false">SUMIFS(BD_REVIT!$H:$H,BD_REVIT!$C:$C,$A67,BD_REVIT!$F:$F,S$4)</f>
        <v>0</v>
      </c>
      <c r="T67" s="13" t="n">
        <f aca="false">SUMIFS(BD_REVIT!$H:$H,BD_REVIT!$C:$C,$A67,BD_REVIT!$F:$F,T$4)</f>
        <v>0</v>
      </c>
      <c r="U67" s="13" t="n">
        <f aca="false">SUMIFS(BD_REVIT!$H:$H,BD_REVIT!$C:$C,$A67,BD_REVIT!$F:$F,U$4)</f>
        <v>0</v>
      </c>
      <c r="V67" s="13" t="n">
        <f aca="false">SUMIFS(BD_REVIT!$H:$H,BD_REVIT!$C:$C,$A67,BD_REVIT!$F:$F,V$4)</f>
        <v>0</v>
      </c>
      <c r="W67" s="13" t="n">
        <f aca="false">SUMIFS(BD_REVIT!$H:$H,BD_REVIT!$C:$C,$A67,BD_REVIT!$F:$F,W$4)</f>
        <v>0</v>
      </c>
      <c r="X67" s="13" t="n">
        <f aca="false">SUMIFS(BD_REVIT!$H:$H,BD_REVIT!$C:$C,$A67,BD_REVIT!$F:$F,X$4)</f>
        <v>0</v>
      </c>
      <c r="Y67" s="13" t="n">
        <f aca="false">SUMIFS(BD_REVIT!$H:$H,BD_REVIT!$C:$C,$A67,BD_REVIT!$F:$F,Y$4)</f>
        <v>0</v>
      </c>
      <c r="Z67" s="52" t="n">
        <f aca="false">SUM(D67:Y67)</f>
        <v>16</v>
      </c>
      <c r="AA67" s="13" t="n">
        <f aca="false">NIVEL!D458</f>
        <v>16</v>
      </c>
      <c r="AB67" s="13" t="n">
        <f aca="false">ROUND(Z67-AA67,2)</f>
        <v>0</v>
      </c>
    </row>
    <row r="68" customFormat="false" ht="15" hidden="false" customHeight="false" outlineLevel="0" collapsed="false">
      <c r="A68" s="10" t="s">
        <v>813</v>
      </c>
      <c r="B68" s="51" t="s">
        <v>814</v>
      </c>
      <c r="C68" s="10" t="s">
        <v>61</v>
      </c>
      <c r="D68" s="13" t="n">
        <f aca="false">SUMIFS(BD_REVIT!$H:$H,BD_REVIT!$C:$C,$A68,BD_REVIT!$F:$F,D$4)</f>
        <v>0</v>
      </c>
      <c r="E68" s="13" t="n">
        <f aca="false">SUMIFS(BD_REVIT!$H:$H,BD_REVIT!$C:$C,$A68,BD_REVIT!$F:$F,E$4)</f>
        <v>0</v>
      </c>
      <c r="F68" s="13" t="n">
        <f aca="false">SUMIFS(BD_REVIT!$H:$H,BD_REVIT!$C:$C,$A68,BD_REVIT!$F:$F,F$4)</f>
        <v>0</v>
      </c>
      <c r="G68" s="13" t="n">
        <f aca="false">SUMIFS(BD_REVIT!$H:$H,BD_REVIT!$C:$C,$A68,BD_REVIT!$F:$F,G$4)</f>
        <v>0</v>
      </c>
      <c r="H68" s="13" t="n">
        <f aca="false">SUMIFS(BD_REVIT!$H:$H,BD_REVIT!$C:$C,$A68,BD_REVIT!$F:$F,H$4)</f>
        <v>0</v>
      </c>
      <c r="I68" s="13" t="n">
        <f aca="false">SUMIFS(BD_REVIT!$H:$H,BD_REVIT!$C:$C,$A68,BD_REVIT!$F:$F,I$4)</f>
        <v>0</v>
      </c>
      <c r="J68" s="13" t="n">
        <f aca="false">SUMIFS(BD_REVIT!$H:$H,BD_REVIT!$C:$C,$A68,BD_REVIT!$F:$F,J$4)</f>
        <v>0</v>
      </c>
      <c r="K68" s="13" t="n">
        <f aca="false">SUMIFS(BD_REVIT!$H:$H,BD_REVIT!$C:$C,$A68,BD_REVIT!$F:$F,K$4)</f>
        <v>0</v>
      </c>
      <c r="L68" s="13" t="n">
        <f aca="false">SUMIFS(BD_REVIT!$H:$H,BD_REVIT!$C:$C,$A68,BD_REVIT!$F:$F,L$4)</f>
        <v>0</v>
      </c>
      <c r="M68" s="13" t="n">
        <f aca="false">SUMIFS(BD_REVIT!$H:$H,BD_REVIT!$C:$C,$A68,BD_REVIT!$F:$F,M$4)</f>
        <v>0</v>
      </c>
      <c r="N68" s="13" t="n">
        <f aca="false">SUMIFS(BD_REVIT!$H:$H,BD_REVIT!$C:$C,$A68,BD_REVIT!$F:$F,N$4)</f>
        <v>0</v>
      </c>
      <c r="O68" s="13" t="n">
        <f aca="false">SUMIFS(BD_REVIT!$H:$H,BD_REVIT!$C:$C,$A68,BD_REVIT!$F:$F,O$4)</f>
        <v>0</v>
      </c>
      <c r="P68" s="13" t="n">
        <f aca="false">SUMIFS(BD_REVIT!$H:$H,BD_REVIT!$C:$C,$A68,BD_REVIT!$F:$F,P$4)</f>
        <v>0</v>
      </c>
      <c r="Q68" s="13" t="n">
        <f aca="false">SUMIFS(BD_REVIT!$H:$H,BD_REVIT!$C:$C,$A68,BD_REVIT!$F:$F,Q$4)</f>
        <v>0</v>
      </c>
      <c r="R68" s="13" t="n">
        <f aca="false">SUMIFS(BD_REVIT!$H:$H,BD_REVIT!$C:$C,$A68,BD_REVIT!$F:$F,R$4)</f>
        <v>0</v>
      </c>
      <c r="S68" s="13" t="n">
        <f aca="false">SUMIFS(BD_REVIT!$H:$H,BD_REVIT!$C:$C,$A68,BD_REVIT!$F:$F,S$4)</f>
        <v>0</v>
      </c>
      <c r="T68" s="13" t="n">
        <f aca="false">SUMIFS(BD_REVIT!$H:$H,BD_REVIT!$C:$C,$A68,BD_REVIT!$F:$F,T$4)</f>
        <v>0</v>
      </c>
      <c r="U68" s="13" t="n">
        <f aca="false">SUMIFS(BD_REVIT!$H:$H,BD_REVIT!$C:$C,$A68,BD_REVIT!$F:$F,U$4)</f>
        <v>0</v>
      </c>
      <c r="V68" s="13" t="n">
        <f aca="false">SUMIFS(BD_REVIT!$H:$H,BD_REVIT!$C:$C,$A68,BD_REVIT!$F:$F,V$4)</f>
        <v>0</v>
      </c>
      <c r="W68" s="13" t="n">
        <f aca="false">SUMIFS(BD_REVIT!$H:$H,BD_REVIT!$C:$C,$A68,BD_REVIT!$F:$F,W$4)</f>
        <v>0</v>
      </c>
      <c r="X68" s="13" t="n">
        <f aca="false">SUMIFS(BD_REVIT!$H:$H,BD_REVIT!$C:$C,$A68,BD_REVIT!$F:$F,X$4)</f>
        <v>0</v>
      </c>
      <c r="Y68" s="13" t="n">
        <f aca="false">SUMIFS(BD_REVIT!$H:$H,BD_REVIT!$C:$C,$A68,BD_REVIT!$F:$F,Y$4)</f>
        <v>0</v>
      </c>
      <c r="Z68" s="52" t="n">
        <f aca="false">SUM(D68:Y68)</f>
        <v>0</v>
      </c>
      <c r="AA68" s="13" t="n">
        <f aca="false">NIVEL!D459</f>
        <v>0</v>
      </c>
      <c r="AB68" s="13" t="n">
        <f aca="false">ROUND(Z68-AA68,2)</f>
        <v>0</v>
      </c>
    </row>
    <row r="69" customFormat="false" ht="15" hidden="false" customHeight="false" outlineLevel="0" collapsed="false">
      <c r="A69" s="10" t="s">
        <v>815</v>
      </c>
      <c r="B69" s="51" t="s">
        <v>816</v>
      </c>
      <c r="C69" s="10" t="s">
        <v>61</v>
      </c>
      <c r="D69" s="13" t="n">
        <f aca="false">SUMIFS(BD_REVIT!$H:$H,BD_REVIT!$C:$C,$A69,BD_REVIT!$F:$F,D$4)</f>
        <v>0</v>
      </c>
      <c r="E69" s="13" t="n">
        <f aca="false">SUMIFS(BD_REVIT!$H:$H,BD_REVIT!$C:$C,$A69,BD_REVIT!$F:$F,E$4)</f>
        <v>0</v>
      </c>
      <c r="F69" s="13" t="n">
        <f aca="false">SUMIFS(BD_REVIT!$H:$H,BD_REVIT!$C:$C,$A69,BD_REVIT!$F:$F,F$4)</f>
        <v>0</v>
      </c>
      <c r="G69" s="13" t="n">
        <f aca="false">SUMIFS(BD_REVIT!$H:$H,BD_REVIT!$C:$C,$A69,BD_REVIT!$F:$F,G$4)</f>
        <v>0</v>
      </c>
      <c r="H69" s="13" t="n">
        <f aca="false">SUMIFS(BD_REVIT!$H:$H,BD_REVIT!$C:$C,$A69,BD_REVIT!$F:$F,H$4)</f>
        <v>0</v>
      </c>
      <c r="I69" s="13" t="n">
        <f aca="false">SUMIFS(BD_REVIT!$H:$H,BD_REVIT!$C:$C,$A69,BD_REVIT!$F:$F,I$4)</f>
        <v>0</v>
      </c>
      <c r="J69" s="13" t="n">
        <f aca="false">SUMIFS(BD_REVIT!$H:$H,BD_REVIT!$C:$C,$A69,BD_REVIT!$F:$F,J$4)</f>
        <v>0</v>
      </c>
      <c r="K69" s="13" t="n">
        <f aca="false">SUMIFS(BD_REVIT!$H:$H,BD_REVIT!$C:$C,$A69,BD_REVIT!$F:$F,K$4)</f>
        <v>0</v>
      </c>
      <c r="L69" s="13" t="n">
        <f aca="false">SUMIFS(BD_REVIT!$H:$H,BD_REVIT!$C:$C,$A69,BD_REVIT!$F:$F,L$4)</f>
        <v>1</v>
      </c>
      <c r="M69" s="13" t="n">
        <f aca="false">SUMIFS(BD_REVIT!$H:$H,BD_REVIT!$C:$C,$A69,BD_REVIT!$F:$F,M$4)</f>
        <v>1</v>
      </c>
      <c r="N69" s="13" t="n">
        <f aca="false">SUMIFS(BD_REVIT!$H:$H,BD_REVIT!$C:$C,$A69,BD_REVIT!$F:$F,N$4)</f>
        <v>1</v>
      </c>
      <c r="O69" s="13" t="n">
        <f aca="false">SUMIFS(BD_REVIT!$H:$H,BD_REVIT!$C:$C,$A69,BD_REVIT!$F:$F,O$4)</f>
        <v>1</v>
      </c>
      <c r="P69" s="13" t="n">
        <f aca="false">SUMIFS(BD_REVIT!$H:$H,BD_REVIT!$C:$C,$A69,BD_REVIT!$F:$F,P$4)</f>
        <v>1</v>
      </c>
      <c r="Q69" s="13" t="n">
        <f aca="false">SUMIFS(BD_REVIT!$H:$H,BD_REVIT!$C:$C,$A69,BD_REVIT!$F:$F,Q$4)</f>
        <v>1</v>
      </c>
      <c r="R69" s="13" t="n">
        <f aca="false">SUMIFS(BD_REVIT!$H:$H,BD_REVIT!$C:$C,$A69,BD_REVIT!$F:$F,R$4)</f>
        <v>1</v>
      </c>
      <c r="S69" s="13" t="n">
        <f aca="false">SUMIFS(BD_REVIT!$H:$H,BD_REVIT!$C:$C,$A69,BD_REVIT!$F:$F,S$4)</f>
        <v>1</v>
      </c>
      <c r="T69" s="13" t="n">
        <f aca="false">SUMIFS(BD_REVIT!$H:$H,BD_REVIT!$C:$C,$A69,BD_REVIT!$F:$F,T$4)</f>
        <v>1</v>
      </c>
      <c r="U69" s="13" t="n">
        <f aca="false">SUMIFS(BD_REVIT!$H:$H,BD_REVIT!$C:$C,$A69,BD_REVIT!$F:$F,U$4)</f>
        <v>1</v>
      </c>
      <c r="V69" s="13" t="n">
        <f aca="false">SUMIFS(BD_REVIT!$H:$H,BD_REVIT!$C:$C,$A69,BD_REVIT!$F:$F,V$4)</f>
        <v>1</v>
      </c>
      <c r="W69" s="13" t="n">
        <f aca="false">SUMIFS(BD_REVIT!$H:$H,BD_REVIT!$C:$C,$A69,BD_REVIT!$F:$F,W$4)</f>
        <v>1</v>
      </c>
      <c r="X69" s="13" t="n">
        <f aca="false">SUMIFS(BD_REVIT!$H:$H,BD_REVIT!$C:$C,$A69,BD_REVIT!$F:$F,X$4)</f>
        <v>1</v>
      </c>
      <c r="Y69" s="13" t="n">
        <f aca="false">SUMIFS(BD_REVIT!$H:$H,BD_REVIT!$C:$C,$A69,BD_REVIT!$F:$F,Y$4)</f>
        <v>0</v>
      </c>
      <c r="Z69" s="52" t="n">
        <f aca="false">SUM(D69:Y69)</f>
        <v>13</v>
      </c>
      <c r="AA69" s="13" t="n">
        <f aca="false">NIVEL!D460</f>
        <v>13</v>
      </c>
      <c r="AB69" s="13" t="n">
        <f aca="false">ROUND(Z69-AA69,2)</f>
        <v>0</v>
      </c>
    </row>
    <row r="70" customFormat="false" ht="15" hidden="false" customHeight="false" outlineLevel="0" collapsed="false">
      <c r="A70" s="10" t="s">
        <v>817</v>
      </c>
      <c r="B70" s="51" t="s">
        <v>818</v>
      </c>
      <c r="C70" s="10" t="s">
        <v>61</v>
      </c>
      <c r="D70" s="13" t="n">
        <f aca="false">SUMIFS(BD_REVIT!$H:$H,BD_REVIT!$C:$C,$A70,BD_REVIT!$F:$F,D$4)</f>
        <v>0</v>
      </c>
      <c r="E70" s="13" t="n">
        <f aca="false">SUMIFS(BD_REVIT!$H:$H,BD_REVIT!$C:$C,$A70,BD_REVIT!$F:$F,E$4)</f>
        <v>0</v>
      </c>
      <c r="F70" s="13" t="n">
        <f aca="false">SUMIFS(BD_REVIT!$H:$H,BD_REVIT!$C:$C,$A70,BD_REVIT!$F:$F,F$4)</f>
        <v>1</v>
      </c>
      <c r="G70" s="13" t="n">
        <f aca="false">SUMIFS(BD_REVIT!$H:$H,BD_REVIT!$C:$C,$A70,BD_REVIT!$F:$F,G$4)</f>
        <v>1</v>
      </c>
      <c r="H70" s="13" t="n">
        <f aca="false">SUMIFS(BD_REVIT!$H:$H,BD_REVIT!$C:$C,$A70,BD_REVIT!$F:$F,H$4)</f>
        <v>1</v>
      </c>
      <c r="I70" s="13" t="n">
        <f aca="false">SUMIFS(BD_REVIT!$H:$H,BD_REVIT!$C:$C,$A70,BD_REVIT!$F:$F,I$4)</f>
        <v>1</v>
      </c>
      <c r="J70" s="13" t="n">
        <f aca="false">SUMIFS(BD_REVIT!$H:$H,BD_REVIT!$C:$C,$A70,BD_REVIT!$F:$F,J$4)</f>
        <v>2</v>
      </c>
      <c r="K70" s="13" t="n">
        <f aca="false">SUMIFS(BD_REVIT!$H:$H,BD_REVIT!$C:$C,$A70,BD_REVIT!$F:$F,K$4)</f>
        <v>1</v>
      </c>
      <c r="L70" s="13" t="n">
        <f aca="false">SUMIFS(BD_REVIT!$H:$H,BD_REVIT!$C:$C,$A70,BD_REVIT!$F:$F,L$4)</f>
        <v>0</v>
      </c>
      <c r="M70" s="13" t="n">
        <f aca="false">SUMIFS(BD_REVIT!$H:$H,BD_REVIT!$C:$C,$A70,BD_REVIT!$F:$F,M$4)</f>
        <v>0</v>
      </c>
      <c r="N70" s="13" t="n">
        <f aca="false">SUMIFS(BD_REVIT!$H:$H,BD_REVIT!$C:$C,$A70,BD_REVIT!$F:$F,N$4)</f>
        <v>0</v>
      </c>
      <c r="O70" s="13" t="n">
        <f aca="false">SUMIFS(BD_REVIT!$H:$H,BD_REVIT!$C:$C,$A70,BD_REVIT!$F:$F,O$4)</f>
        <v>0</v>
      </c>
      <c r="P70" s="13" t="n">
        <f aca="false">SUMIFS(BD_REVIT!$H:$H,BD_REVIT!$C:$C,$A70,BD_REVIT!$F:$F,P$4)</f>
        <v>0</v>
      </c>
      <c r="Q70" s="13" t="n">
        <f aca="false">SUMIFS(BD_REVIT!$H:$H,BD_REVIT!$C:$C,$A70,BD_REVIT!$F:$F,Q$4)</f>
        <v>0</v>
      </c>
      <c r="R70" s="13" t="n">
        <f aca="false">SUMIFS(BD_REVIT!$H:$H,BD_REVIT!$C:$C,$A70,BD_REVIT!$F:$F,R$4)</f>
        <v>0</v>
      </c>
      <c r="S70" s="13" t="n">
        <f aca="false">SUMIFS(BD_REVIT!$H:$H,BD_REVIT!$C:$C,$A70,BD_REVIT!$F:$F,S$4)</f>
        <v>0</v>
      </c>
      <c r="T70" s="13" t="n">
        <f aca="false">SUMIFS(BD_REVIT!$H:$H,BD_REVIT!$C:$C,$A70,BD_REVIT!$F:$F,T$4)</f>
        <v>0</v>
      </c>
      <c r="U70" s="13" t="n">
        <f aca="false">SUMIFS(BD_REVIT!$H:$H,BD_REVIT!$C:$C,$A70,BD_REVIT!$F:$F,U$4)</f>
        <v>0</v>
      </c>
      <c r="V70" s="13" t="n">
        <f aca="false">SUMIFS(BD_REVIT!$H:$H,BD_REVIT!$C:$C,$A70,BD_REVIT!$F:$F,V$4)</f>
        <v>0</v>
      </c>
      <c r="W70" s="13" t="n">
        <f aca="false">SUMIFS(BD_REVIT!$H:$H,BD_REVIT!$C:$C,$A70,BD_REVIT!$F:$F,W$4)</f>
        <v>0</v>
      </c>
      <c r="X70" s="13" t="n">
        <f aca="false">SUMIFS(BD_REVIT!$H:$H,BD_REVIT!$C:$C,$A70,BD_REVIT!$F:$F,X$4)</f>
        <v>0</v>
      </c>
      <c r="Y70" s="13" t="n">
        <f aca="false">SUMIFS(BD_REVIT!$H:$H,BD_REVIT!$C:$C,$A70,BD_REVIT!$F:$F,Y$4)</f>
        <v>0</v>
      </c>
      <c r="Z70" s="52" t="n">
        <f aca="false">SUM(D70:Y70)</f>
        <v>7</v>
      </c>
      <c r="AA70" s="13" t="n">
        <f aca="false">NIVEL!D461</f>
        <v>7</v>
      </c>
      <c r="AB70" s="13" t="n">
        <f aca="false">ROUND(Z70-AA70,2)</f>
        <v>0</v>
      </c>
    </row>
    <row r="71" customFormat="false" ht="15" hidden="false" customHeight="false" outlineLevel="0" collapsed="false">
      <c r="A71" s="10" t="s">
        <v>819</v>
      </c>
      <c r="B71" s="51" t="s">
        <v>820</v>
      </c>
      <c r="C71" s="10" t="s">
        <v>61</v>
      </c>
      <c r="D71" s="13" t="n">
        <f aca="false">SUMIFS(BD_REVIT!$H:$H,BD_REVIT!$C:$C,$A71,BD_REVIT!$F:$F,D$4)</f>
        <v>30</v>
      </c>
      <c r="E71" s="13" t="n">
        <f aca="false">SUMIFS(BD_REVIT!$H:$H,BD_REVIT!$C:$C,$A71,BD_REVIT!$F:$F,E$4)</f>
        <v>8</v>
      </c>
      <c r="F71" s="13" t="n">
        <f aca="false">SUMIFS(BD_REVIT!$H:$H,BD_REVIT!$C:$C,$A71,BD_REVIT!$F:$F,F$4)</f>
        <v>15</v>
      </c>
      <c r="G71" s="13" t="n">
        <f aca="false">SUMIFS(BD_REVIT!$H:$H,BD_REVIT!$C:$C,$A71,BD_REVIT!$F:$F,G$4)</f>
        <v>20</v>
      </c>
      <c r="H71" s="13" t="n">
        <f aca="false">SUMIFS(BD_REVIT!$H:$H,BD_REVIT!$C:$C,$A71,BD_REVIT!$F:$F,H$4)</f>
        <v>19</v>
      </c>
      <c r="I71" s="13" t="n">
        <f aca="false">SUMIFS(BD_REVIT!$H:$H,BD_REVIT!$C:$C,$A71,BD_REVIT!$F:$F,I$4)</f>
        <v>36</v>
      </c>
      <c r="J71" s="13" t="n">
        <f aca="false">SUMIFS(BD_REVIT!$H:$H,BD_REVIT!$C:$C,$A71,BD_REVIT!$F:$F,J$4)</f>
        <v>44</v>
      </c>
      <c r="K71" s="13" t="n">
        <f aca="false">SUMIFS(BD_REVIT!$H:$H,BD_REVIT!$C:$C,$A71,BD_REVIT!$F:$F,K$4)</f>
        <v>31</v>
      </c>
      <c r="L71" s="13" t="n">
        <f aca="false">SUMIFS(BD_REVIT!$H:$H,BD_REVIT!$C:$C,$A71,BD_REVIT!$F:$F,L$4)</f>
        <v>0</v>
      </c>
      <c r="M71" s="13" t="n">
        <f aca="false">SUMIFS(BD_REVIT!$H:$H,BD_REVIT!$C:$C,$A71,BD_REVIT!$F:$F,M$4)</f>
        <v>0</v>
      </c>
      <c r="N71" s="13" t="n">
        <f aca="false">SUMIFS(BD_REVIT!$H:$H,BD_REVIT!$C:$C,$A71,BD_REVIT!$F:$F,N$4)</f>
        <v>0</v>
      </c>
      <c r="O71" s="13" t="n">
        <f aca="false">SUMIFS(BD_REVIT!$H:$H,BD_REVIT!$C:$C,$A71,BD_REVIT!$F:$F,O$4)</f>
        <v>0</v>
      </c>
      <c r="P71" s="13" t="n">
        <f aca="false">SUMIFS(BD_REVIT!$H:$H,BD_REVIT!$C:$C,$A71,BD_REVIT!$F:$F,P$4)</f>
        <v>0</v>
      </c>
      <c r="Q71" s="13" t="n">
        <f aca="false">SUMIFS(BD_REVIT!$H:$H,BD_REVIT!$C:$C,$A71,BD_REVIT!$F:$F,Q$4)</f>
        <v>0</v>
      </c>
      <c r="R71" s="13" t="n">
        <f aca="false">SUMIFS(BD_REVIT!$H:$H,BD_REVIT!$C:$C,$A71,BD_REVIT!$F:$F,R$4)</f>
        <v>0</v>
      </c>
      <c r="S71" s="13" t="n">
        <f aca="false">SUMIFS(BD_REVIT!$H:$H,BD_REVIT!$C:$C,$A71,BD_REVIT!$F:$F,S$4)</f>
        <v>0</v>
      </c>
      <c r="T71" s="13" t="n">
        <f aca="false">SUMIFS(BD_REVIT!$H:$H,BD_REVIT!$C:$C,$A71,BD_REVIT!$F:$F,T$4)</f>
        <v>0</v>
      </c>
      <c r="U71" s="13" t="n">
        <f aca="false">SUMIFS(BD_REVIT!$H:$H,BD_REVIT!$C:$C,$A71,BD_REVIT!$F:$F,U$4)</f>
        <v>0</v>
      </c>
      <c r="V71" s="13" t="n">
        <f aca="false">SUMIFS(BD_REVIT!$H:$H,BD_REVIT!$C:$C,$A71,BD_REVIT!$F:$F,V$4)</f>
        <v>0</v>
      </c>
      <c r="W71" s="13" t="n">
        <f aca="false">SUMIFS(BD_REVIT!$H:$H,BD_REVIT!$C:$C,$A71,BD_REVIT!$F:$F,W$4)</f>
        <v>0</v>
      </c>
      <c r="X71" s="13" t="n">
        <f aca="false">SUMIFS(BD_REVIT!$H:$H,BD_REVIT!$C:$C,$A71,BD_REVIT!$F:$F,X$4)</f>
        <v>0</v>
      </c>
      <c r="Y71" s="13" t="n">
        <f aca="false">SUMIFS(BD_REVIT!$H:$H,BD_REVIT!$C:$C,$A71,BD_REVIT!$F:$F,Y$4)</f>
        <v>0</v>
      </c>
      <c r="Z71" s="52" t="n">
        <f aca="false">SUM(D71:Y71)</f>
        <v>203</v>
      </c>
      <c r="AA71" s="13" t="n">
        <f aca="false">NIVEL!D462</f>
        <v>203</v>
      </c>
      <c r="AB71" s="13" t="n">
        <f aca="false">ROUND(Z71-AA71,2)</f>
        <v>0</v>
      </c>
    </row>
    <row r="72" customFormat="false" ht="15" hidden="false" customHeight="false" outlineLevel="0" collapsed="false">
      <c r="A72" s="10" t="s">
        <v>821</v>
      </c>
      <c r="B72" s="51" t="s">
        <v>822</v>
      </c>
      <c r="C72" s="10" t="s">
        <v>61</v>
      </c>
      <c r="D72" s="13" t="n">
        <f aca="false">SUMIFS(BD_REVIT!$H:$H,BD_REVIT!$C:$C,$A72,BD_REVIT!$F:$F,D$4)</f>
        <v>3</v>
      </c>
      <c r="E72" s="13" t="n">
        <f aca="false">SUMIFS(BD_REVIT!$H:$H,BD_REVIT!$C:$C,$A72,BD_REVIT!$F:$F,E$4)</f>
        <v>9</v>
      </c>
      <c r="F72" s="13" t="n">
        <f aca="false">SUMIFS(BD_REVIT!$H:$H,BD_REVIT!$C:$C,$A72,BD_REVIT!$F:$F,F$4)</f>
        <v>14</v>
      </c>
      <c r="G72" s="13" t="n">
        <f aca="false">SUMIFS(BD_REVIT!$H:$H,BD_REVIT!$C:$C,$A72,BD_REVIT!$F:$F,G$4)</f>
        <v>22</v>
      </c>
      <c r="H72" s="13" t="n">
        <f aca="false">SUMIFS(BD_REVIT!$H:$H,BD_REVIT!$C:$C,$A72,BD_REVIT!$F:$F,H$4)</f>
        <v>28</v>
      </c>
      <c r="I72" s="13" t="n">
        <f aca="false">SUMIFS(BD_REVIT!$H:$H,BD_REVIT!$C:$C,$A72,BD_REVIT!$F:$F,I$4)</f>
        <v>20</v>
      </c>
      <c r="J72" s="13" t="n">
        <f aca="false">SUMIFS(BD_REVIT!$H:$H,BD_REVIT!$C:$C,$A72,BD_REVIT!$F:$F,J$4)</f>
        <v>6</v>
      </c>
      <c r="K72" s="13" t="n">
        <f aca="false">SUMIFS(BD_REVIT!$H:$H,BD_REVIT!$C:$C,$A72,BD_REVIT!$F:$F,K$4)</f>
        <v>5</v>
      </c>
      <c r="L72" s="13" t="n">
        <f aca="false">SUMIFS(BD_REVIT!$H:$H,BD_REVIT!$C:$C,$A72,BD_REVIT!$F:$F,L$4)</f>
        <v>6</v>
      </c>
      <c r="M72" s="13" t="n">
        <f aca="false">SUMIFS(BD_REVIT!$H:$H,BD_REVIT!$C:$C,$A72,BD_REVIT!$F:$F,M$4)</f>
        <v>6</v>
      </c>
      <c r="N72" s="13" t="n">
        <f aca="false">SUMIFS(BD_REVIT!$H:$H,BD_REVIT!$C:$C,$A72,BD_REVIT!$F:$F,N$4)</f>
        <v>6</v>
      </c>
      <c r="O72" s="13" t="n">
        <f aca="false">SUMIFS(BD_REVIT!$H:$H,BD_REVIT!$C:$C,$A72,BD_REVIT!$F:$F,O$4)</f>
        <v>6</v>
      </c>
      <c r="P72" s="13" t="n">
        <f aca="false">SUMIFS(BD_REVIT!$H:$H,BD_REVIT!$C:$C,$A72,BD_REVIT!$F:$F,P$4)</f>
        <v>6</v>
      </c>
      <c r="Q72" s="13" t="n">
        <f aca="false">SUMIFS(BD_REVIT!$H:$H,BD_REVIT!$C:$C,$A72,BD_REVIT!$F:$F,Q$4)</f>
        <v>6</v>
      </c>
      <c r="R72" s="13" t="n">
        <f aca="false">SUMIFS(BD_REVIT!$H:$H,BD_REVIT!$C:$C,$A72,BD_REVIT!$F:$F,R$4)</f>
        <v>6</v>
      </c>
      <c r="S72" s="13" t="n">
        <f aca="false">SUMIFS(BD_REVIT!$H:$H,BD_REVIT!$C:$C,$A72,BD_REVIT!$F:$F,S$4)</f>
        <v>6</v>
      </c>
      <c r="T72" s="13" t="n">
        <f aca="false">SUMIFS(BD_REVIT!$H:$H,BD_REVIT!$C:$C,$A72,BD_REVIT!$F:$F,T$4)</f>
        <v>6</v>
      </c>
      <c r="U72" s="13" t="n">
        <f aca="false">SUMIFS(BD_REVIT!$H:$H,BD_REVIT!$C:$C,$A72,BD_REVIT!$F:$F,U$4)</f>
        <v>6</v>
      </c>
      <c r="V72" s="13" t="n">
        <f aca="false">SUMIFS(BD_REVIT!$H:$H,BD_REVIT!$C:$C,$A72,BD_REVIT!$F:$F,V$4)</f>
        <v>12</v>
      </c>
      <c r="W72" s="13" t="n">
        <f aca="false">SUMIFS(BD_REVIT!$H:$H,BD_REVIT!$C:$C,$A72,BD_REVIT!$F:$F,W$4)</f>
        <v>6</v>
      </c>
      <c r="X72" s="13" t="n">
        <f aca="false">SUMIFS(BD_REVIT!$H:$H,BD_REVIT!$C:$C,$A72,BD_REVIT!$F:$F,X$4)</f>
        <v>1</v>
      </c>
      <c r="Y72" s="13" t="n">
        <f aca="false">SUMIFS(BD_REVIT!$H:$H,BD_REVIT!$C:$C,$A72,BD_REVIT!$F:$F,Y$4)</f>
        <v>0</v>
      </c>
      <c r="Z72" s="52" t="n">
        <f aca="false">SUM(D72:Y72)</f>
        <v>186</v>
      </c>
      <c r="AA72" s="13" t="n">
        <f aca="false">NIVEL!D463</f>
        <v>186</v>
      </c>
      <c r="AB72" s="13" t="n">
        <f aca="false">ROUND(Z72-AA72,2)</f>
        <v>0</v>
      </c>
    </row>
    <row r="73" customFormat="false" ht="15" hidden="false" customHeight="false" outlineLevel="0" collapsed="false">
      <c r="A73" s="10" t="s">
        <v>823</v>
      </c>
      <c r="B73" s="51" t="s">
        <v>824</v>
      </c>
      <c r="C73" s="10" t="s">
        <v>61</v>
      </c>
      <c r="D73" s="13" t="n">
        <f aca="false">SUMIFS(BD_REVIT!$H:$H,BD_REVIT!$C:$C,$A73,BD_REVIT!$F:$F,D$4)</f>
        <v>3</v>
      </c>
      <c r="E73" s="13" t="n">
        <f aca="false">SUMIFS(BD_REVIT!$H:$H,BD_REVIT!$C:$C,$A73,BD_REVIT!$F:$F,E$4)</f>
        <v>0</v>
      </c>
      <c r="F73" s="13" t="n">
        <f aca="false">SUMIFS(BD_REVIT!$H:$H,BD_REVIT!$C:$C,$A73,BD_REVIT!$F:$F,F$4)</f>
        <v>0</v>
      </c>
      <c r="G73" s="13" t="n">
        <f aca="false">SUMIFS(BD_REVIT!$H:$H,BD_REVIT!$C:$C,$A73,BD_REVIT!$F:$F,G$4)</f>
        <v>0</v>
      </c>
      <c r="H73" s="13" t="n">
        <f aca="false">SUMIFS(BD_REVIT!$H:$H,BD_REVIT!$C:$C,$A73,BD_REVIT!$F:$F,H$4)</f>
        <v>0</v>
      </c>
      <c r="I73" s="13" t="n">
        <f aca="false">SUMIFS(BD_REVIT!$H:$H,BD_REVIT!$C:$C,$A73,BD_REVIT!$F:$F,I$4)</f>
        <v>0</v>
      </c>
      <c r="J73" s="13" t="n">
        <f aca="false">SUMIFS(BD_REVIT!$H:$H,BD_REVIT!$C:$C,$A73,BD_REVIT!$F:$F,J$4)</f>
        <v>1</v>
      </c>
      <c r="K73" s="13" t="n">
        <f aca="false">SUMIFS(BD_REVIT!$H:$H,BD_REVIT!$C:$C,$A73,BD_REVIT!$F:$F,K$4)</f>
        <v>0</v>
      </c>
      <c r="L73" s="13" t="n">
        <f aca="false">SUMIFS(BD_REVIT!$H:$H,BD_REVIT!$C:$C,$A73,BD_REVIT!$F:$F,L$4)</f>
        <v>0</v>
      </c>
      <c r="M73" s="13" t="n">
        <f aca="false">SUMIFS(BD_REVIT!$H:$H,BD_REVIT!$C:$C,$A73,BD_REVIT!$F:$F,M$4)</f>
        <v>0</v>
      </c>
      <c r="N73" s="13" t="n">
        <f aca="false">SUMIFS(BD_REVIT!$H:$H,BD_REVIT!$C:$C,$A73,BD_REVIT!$F:$F,N$4)</f>
        <v>0</v>
      </c>
      <c r="O73" s="13" t="n">
        <f aca="false">SUMIFS(BD_REVIT!$H:$H,BD_REVIT!$C:$C,$A73,BD_REVIT!$F:$F,O$4)</f>
        <v>0</v>
      </c>
      <c r="P73" s="13" t="n">
        <f aca="false">SUMIFS(BD_REVIT!$H:$H,BD_REVIT!$C:$C,$A73,BD_REVIT!$F:$F,P$4)</f>
        <v>0</v>
      </c>
      <c r="Q73" s="13" t="n">
        <f aca="false">SUMIFS(BD_REVIT!$H:$H,BD_REVIT!$C:$C,$A73,BD_REVIT!$F:$F,Q$4)</f>
        <v>0</v>
      </c>
      <c r="R73" s="13" t="n">
        <f aca="false">SUMIFS(BD_REVIT!$H:$H,BD_REVIT!$C:$C,$A73,BD_REVIT!$F:$F,R$4)</f>
        <v>0</v>
      </c>
      <c r="S73" s="13" t="n">
        <f aca="false">SUMIFS(BD_REVIT!$H:$H,BD_REVIT!$C:$C,$A73,BD_REVIT!$F:$F,S$4)</f>
        <v>0</v>
      </c>
      <c r="T73" s="13" t="n">
        <f aca="false">SUMIFS(BD_REVIT!$H:$H,BD_REVIT!$C:$C,$A73,BD_REVIT!$F:$F,T$4)</f>
        <v>0</v>
      </c>
      <c r="U73" s="13" t="n">
        <f aca="false">SUMIFS(BD_REVIT!$H:$H,BD_REVIT!$C:$C,$A73,BD_REVIT!$F:$F,U$4)</f>
        <v>0</v>
      </c>
      <c r="V73" s="13" t="n">
        <f aca="false">SUMIFS(BD_REVIT!$H:$H,BD_REVIT!$C:$C,$A73,BD_REVIT!$F:$F,V$4)</f>
        <v>0</v>
      </c>
      <c r="W73" s="13" t="n">
        <f aca="false">SUMIFS(BD_REVIT!$H:$H,BD_REVIT!$C:$C,$A73,BD_REVIT!$F:$F,W$4)</f>
        <v>0</v>
      </c>
      <c r="X73" s="13" t="n">
        <f aca="false">SUMIFS(BD_REVIT!$H:$H,BD_REVIT!$C:$C,$A73,BD_REVIT!$F:$F,X$4)</f>
        <v>0</v>
      </c>
      <c r="Y73" s="13" t="n">
        <f aca="false">SUMIFS(BD_REVIT!$H:$H,BD_REVIT!$C:$C,$A73,BD_REVIT!$F:$F,Y$4)</f>
        <v>0</v>
      </c>
      <c r="Z73" s="52" t="n">
        <f aca="false">SUM(D73:Y73)</f>
        <v>4</v>
      </c>
      <c r="AA73" s="13" t="n">
        <f aca="false">NIVEL!D464</f>
        <v>4</v>
      </c>
      <c r="AB73" s="13" t="n">
        <f aca="false">ROUND(Z73-AA73,2)</f>
        <v>0</v>
      </c>
    </row>
    <row r="74" customFormat="false" ht="15" hidden="false" customHeight="false" outlineLevel="0" collapsed="false">
      <c r="A74" s="10" t="s">
        <v>825</v>
      </c>
      <c r="B74" s="51" t="s">
        <v>826</v>
      </c>
      <c r="C74" s="10" t="s">
        <v>61</v>
      </c>
      <c r="D74" s="13" t="n">
        <f aca="false">SUMIFS(BD_REVIT!$H:$H,BD_REVIT!$C:$C,$A74,BD_REVIT!$F:$F,D$4)</f>
        <v>0</v>
      </c>
      <c r="E74" s="13" t="n">
        <f aca="false">SUMIFS(BD_REVIT!$H:$H,BD_REVIT!$C:$C,$A74,BD_REVIT!$F:$F,E$4)</f>
        <v>0</v>
      </c>
      <c r="F74" s="13" t="n">
        <f aca="false">SUMIFS(BD_REVIT!$H:$H,BD_REVIT!$C:$C,$A74,BD_REVIT!$F:$F,F$4)</f>
        <v>0</v>
      </c>
      <c r="G74" s="13" t="n">
        <f aca="false">SUMIFS(BD_REVIT!$H:$H,BD_REVIT!$C:$C,$A74,BD_REVIT!$F:$F,G$4)</f>
        <v>0</v>
      </c>
      <c r="H74" s="13" t="n">
        <f aca="false">SUMIFS(BD_REVIT!$H:$H,BD_REVIT!$C:$C,$A74,BD_REVIT!$F:$F,H$4)</f>
        <v>0</v>
      </c>
      <c r="I74" s="13" t="n">
        <f aca="false">SUMIFS(BD_REVIT!$H:$H,BD_REVIT!$C:$C,$A74,BD_REVIT!$F:$F,I$4)</f>
        <v>0</v>
      </c>
      <c r="J74" s="13" t="n">
        <f aca="false">SUMIFS(BD_REVIT!$H:$H,BD_REVIT!$C:$C,$A74,BD_REVIT!$F:$F,J$4)</f>
        <v>0</v>
      </c>
      <c r="K74" s="13" t="n">
        <f aca="false">SUMIFS(BD_REVIT!$H:$H,BD_REVIT!$C:$C,$A74,BD_REVIT!$F:$F,K$4)</f>
        <v>1</v>
      </c>
      <c r="L74" s="13" t="n">
        <f aca="false">SUMIFS(BD_REVIT!$H:$H,BD_REVIT!$C:$C,$A74,BD_REVIT!$F:$F,L$4)</f>
        <v>0</v>
      </c>
      <c r="M74" s="13" t="n">
        <f aca="false">SUMIFS(BD_REVIT!$H:$H,BD_REVIT!$C:$C,$A74,BD_REVIT!$F:$F,M$4)</f>
        <v>0</v>
      </c>
      <c r="N74" s="13" t="n">
        <f aca="false">SUMIFS(BD_REVIT!$H:$H,BD_REVIT!$C:$C,$A74,BD_REVIT!$F:$F,N$4)</f>
        <v>0</v>
      </c>
      <c r="O74" s="13" t="n">
        <f aca="false">SUMIFS(BD_REVIT!$H:$H,BD_REVIT!$C:$C,$A74,BD_REVIT!$F:$F,O$4)</f>
        <v>0</v>
      </c>
      <c r="P74" s="13" t="n">
        <f aca="false">SUMIFS(BD_REVIT!$H:$H,BD_REVIT!$C:$C,$A74,BD_REVIT!$F:$F,P$4)</f>
        <v>0</v>
      </c>
      <c r="Q74" s="13" t="n">
        <f aca="false">SUMIFS(BD_REVIT!$H:$H,BD_REVIT!$C:$C,$A74,BD_REVIT!$F:$F,Q$4)</f>
        <v>0</v>
      </c>
      <c r="R74" s="13" t="n">
        <f aca="false">SUMIFS(BD_REVIT!$H:$H,BD_REVIT!$C:$C,$A74,BD_REVIT!$F:$F,R$4)</f>
        <v>0</v>
      </c>
      <c r="S74" s="13" t="n">
        <f aca="false">SUMIFS(BD_REVIT!$H:$H,BD_REVIT!$C:$C,$A74,BD_REVIT!$F:$F,S$4)</f>
        <v>0</v>
      </c>
      <c r="T74" s="13" t="n">
        <f aca="false">SUMIFS(BD_REVIT!$H:$H,BD_REVIT!$C:$C,$A74,BD_REVIT!$F:$F,T$4)</f>
        <v>0</v>
      </c>
      <c r="U74" s="13" t="n">
        <f aca="false">SUMIFS(BD_REVIT!$H:$H,BD_REVIT!$C:$C,$A74,BD_REVIT!$F:$F,U$4)</f>
        <v>0</v>
      </c>
      <c r="V74" s="13" t="n">
        <f aca="false">SUMIFS(BD_REVIT!$H:$H,BD_REVIT!$C:$C,$A74,BD_REVIT!$F:$F,V$4)</f>
        <v>4</v>
      </c>
      <c r="W74" s="13" t="n">
        <f aca="false">SUMIFS(BD_REVIT!$H:$H,BD_REVIT!$C:$C,$A74,BD_REVIT!$F:$F,W$4)</f>
        <v>0</v>
      </c>
      <c r="X74" s="13" t="n">
        <f aca="false">SUMIFS(BD_REVIT!$H:$H,BD_REVIT!$C:$C,$A74,BD_REVIT!$F:$F,X$4)</f>
        <v>0</v>
      </c>
      <c r="Y74" s="13" t="n">
        <f aca="false">SUMIFS(BD_REVIT!$H:$H,BD_REVIT!$C:$C,$A74,BD_REVIT!$F:$F,Y$4)</f>
        <v>0</v>
      </c>
      <c r="Z74" s="52" t="n">
        <f aca="false">SUM(D74:Y74)</f>
        <v>5</v>
      </c>
      <c r="AA74" s="13" t="n">
        <f aca="false">NIVEL!D465</f>
        <v>5</v>
      </c>
      <c r="AB74" s="13" t="n">
        <f aca="false">ROUND(Z74-AA74,2)</f>
        <v>0</v>
      </c>
    </row>
    <row r="75" customFormat="false" ht="15" hidden="false" customHeight="false" outlineLevel="0" collapsed="false">
      <c r="A75" s="10" t="s">
        <v>827</v>
      </c>
      <c r="B75" s="51" t="s">
        <v>828</v>
      </c>
      <c r="C75" s="10" t="s">
        <v>61</v>
      </c>
      <c r="D75" s="13" t="n">
        <f aca="false">SUMIFS(BD_REVIT!$H:$H,BD_REVIT!$C:$C,$A75,BD_REVIT!$F:$F,D$4)</f>
        <v>0</v>
      </c>
      <c r="E75" s="13" t="n">
        <f aca="false">SUMIFS(BD_REVIT!$H:$H,BD_REVIT!$C:$C,$A75,BD_REVIT!$F:$F,E$4)</f>
        <v>1</v>
      </c>
      <c r="F75" s="13" t="n">
        <f aca="false">SUMIFS(BD_REVIT!$H:$H,BD_REVIT!$C:$C,$A75,BD_REVIT!$F:$F,F$4)</f>
        <v>3</v>
      </c>
      <c r="G75" s="13" t="n">
        <f aca="false">SUMIFS(BD_REVIT!$H:$H,BD_REVIT!$C:$C,$A75,BD_REVIT!$F:$F,G$4)</f>
        <v>2</v>
      </c>
      <c r="H75" s="13" t="n">
        <f aca="false">SUMIFS(BD_REVIT!$H:$H,BD_REVIT!$C:$C,$A75,BD_REVIT!$F:$F,H$4)</f>
        <v>1</v>
      </c>
      <c r="I75" s="13" t="n">
        <f aca="false">SUMIFS(BD_REVIT!$H:$H,BD_REVIT!$C:$C,$A75,BD_REVIT!$F:$F,I$4)</f>
        <v>5</v>
      </c>
      <c r="J75" s="13" t="n">
        <f aca="false">SUMIFS(BD_REVIT!$H:$H,BD_REVIT!$C:$C,$A75,BD_REVIT!$F:$F,J$4)</f>
        <v>3</v>
      </c>
      <c r="K75" s="13" t="n">
        <f aca="false">SUMIFS(BD_REVIT!$H:$H,BD_REVIT!$C:$C,$A75,BD_REVIT!$F:$F,K$4)</f>
        <v>0</v>
      </c>
      <c r="L75" s="13" t="n">
        <f aca="false">SUMIFS(BD_REVIT!$H:$H,BD_REVIT!$C:$C,$A75,BD_REVIT!$F:$F,L$4)</f>
        <v>0</v>
      </c>
      <c r="M75" s="13" t="n">
        <f aca="false">SUMIFS(BD_REVIT!$H:$H,BD_REVIT!$C:$C,$A75,BD_REVIT!$F:$F,M$4)</f>
        <v>0</v>
      </c>
      <c r="N75" s="13" t="n">
        <f aca="false">SUMIFS(BD_REVIT!$H:$H,BD_REVIT!$C:$C,$A75,BD_REVIT!$F:$F,N$4)</f>
        <v>0</v>
      </c>
      <c r="O75" s="13" t="n">
        <f aca="false">SUMIFS(BD_REVIT!$H:$H,BD_REVIT!$C:$C,$A75,BD_REVIT!$F:$F,O$4)</f>
        <v>0</v>
      </c>
      <c r="P75" s="13" t="n">
        <f aca="false">SUMIFS(BD_REVIT!$H:$H,BD_REVIT!$C:$C,$A75,BD_REVIT!$F:$F,P$4)</f>
        <v>0</v>
      </c>
      <c r="Q75" s="13" t="n">
        <f aca="false">SUMIFS(BD_REVIT!$H:$H,BD_REVIT!$C:$C,$A75,BD_REVIT!$F:$F,Q$4)</f>
        <v>0</v>
      </c>
      <c r="R75" s="13" t="n">
        <f aca="false">SUMIFS(BD_REVIT!$H:$H,BD_REVIT!$C:$C,$A75,BD_REVIT!$F:$F,R$4)</f>
        <v>0</v>
      </c>
      <c r="S75" s="13" t="n">
        <f aca="false">SUMIFS(BD_REVIT!$H:$H,BD_REVIT!$C:$C,$A75,BD_REVIT!$F:$F,S$4)</f>
        <v>0</v>
      </c>
      <c r="T75" s="13" t="n">
        <f aca="false">SUMIFS(BD_REVIT!$H:$H,BD_REVIT!$C:$C,$A75,BD_REVIT!$F:$F,T$4)</f>
        <v>0</v>
      </c>
      <c r="U75" s="13" t="n">
        <f aca="false">SUMIFS(BD_REVIT!$H:$H,BD_REVIT!$C:$C,$A75,BD_REVIT!$F:$F,U$4)</f>
        <v>0</v>
      </c>
      <c r="V75" s="13" t="n">
        <f aca="false">SUMIFS(BD_REVIT!$H:$H,BD_REVIT!$C:$C,$A75,BD_REVIT!$F:$F,V$4)</f>
        <v>0</v>
      </c>
      <c r="W75" s="13" t="n">
        <f aca="false">SUMIFS(BD_REVIT!$H:$H,BD_REVIT!$C:$C,$A75,BD_REVIT!$F:$F,W$4)</f>
        <v>0</v>
      </c>
      <c r="X75" s="13" t="n">
        <f aca="false">SUMIFS(BD_REVIT!$H:$H,BD_REVIT!$C:$C,$A75,BD_REVIT!$F:$F,X$4)</f>
        <v>0</v>
      </c>
      <c r="Y75" s="13" t="n">
        <f aca="false">SUMIFS(BD_REVIT!$H:$H,BD_REVIT!$C:$C,$A75,BD_REVIT!$F:$F,Y$4)</f>
        <v>0</v>
      </c>
      <c r="Z75" s="52" t="n">
        <f aca="false">SUM(D75:Y75)</f>
        <v>15</v>
      </c>
      <c r="AA75" s="13" t="n">
        <f aca="false">NIVEL!D466</f>
        <v>15</v>
      </c>
      <c r="AB75" s="13" t="n">
        <f aca="false">ROUND(Z75-AA75,2)</f>
        <v>0</v>
      </c>
    </row>
    <row r="76" customFormat="false" ht="15" hidden="false" customHeight="false" outlineLevel="0" collapsed="false">
      <c r="A76" s="10" t="s">
        <v>829</v>
      </c>
      <c r="B76" s="51" t="s">
        <v>830</v>
      </c>
      <c r="C76" s="10" t="s">
        <v>61</v>
      </c>
      <c r="D76" s="13" t="n">
        <f aca="false">SUMIFS(BD_REVIT!$H:$H,BD_REVIT!$C:$C,$A76,BD_REVIT!$F:$F,D$4)</f>
        <v>0</v>
      </c>
      <c r="E76" s="13" t="n">
        <f aca="false">SUMIFS(BD_REVIT!$H:$H,BD_REVIT!$C:$C,$A76,BD_REVIT!$F:$F,E$4)</f>
        <v>0</v>
      </c>
      <c r="F76" s="13" t="n">
        <f aca="false">SUMIFS(BD_REVIT!$H:$H,BD_REVIT!$C:$C,$A76,BD_REVIT!$F:$F,F$4)</f>
        <v>1</v>
      </c>
      <c r="G76" s="13" t="n">
        <f aca="false">SUMIFS(BD_REVIT!$H:$H,BD_REVIT!$C:$C,$A76,BD_REVIT!$F:$F,G$4)</f>
        <v>1</v>
      </c>
      <c r="H76" s="13" t="n">
        <f aca="false">SUMIFS(BD_REVIT!$H:$H,BD_REVIT!$C:$C,$A76,BD_REVIT!$F:$F,H$4)</f>
        <v>1</v>
      </c>
      <c r="I76" s="13" t="n">
        <f aca="false">SUMIFS(BD_REVIT!$H:$H,BD_REVIT!$C:$C,$A76,BD_REVIT!$F:$F,I$4)</f>
        <v>1</v>
      </c>
      <c r="J76" s="13" t="n">
        <f aca="false">SUMIFS(BD_REVIT!$H:$H,BD_REVIT!$C:$C,$A76,BD_REVIT!$F:$F,J$4)</f>
        <v>2</v>
      </c>
      <c r="K76" s="13" t="n">
        <f aca="false">SUMIFS(BD_REVIT!$H:$H,BD_REVIT!$C:$C,$A76,BD_REVIT!$F:$F,K$4)</f>
        <v>1</v>
      </c>
      <c r="L76" s="13" t="n">
        <f aca="false">SUMIFS(BD_REVIT!$H:$H,BD_REVIT!$C:$C,$A76,BD_REVIT!$F:$F,L$4)</f>
        <v>0</v>
      </c>
      <c r="M76" s="13" t="n">
        <f aca="false">SUMIFS(BD_REVIT!$H:$H,BD_REVIT!$C:$C,$A76,BD_REVIT!$F:$F,M$4)</f>
        <v>0</v>
      </c>
      <c r="N76" s="13" t="n">
        <f aca="false">SUMIFS(BD_REVIT!$H:$H,BD_REVIT!$C:$C,$A76,BD_REVIT!$F:$F,N$4)</f>
        <v>0</v>
      </c>
      <c r="O76" s="13" t="n">
        <f aca="false">SUMIFS(BD_REVIT!$H:$H,BD_REVIT!$C:$C,$A76,BD_REVIT!$F:$F,O$4)</f>
        <v>0</v>
      </c>
      <c r="P76" s="13" t="n">
        <f aca="false">SUMIFS(BD_REVIT!$H:$H,BD_REVIT!$C:$C,$A76,BD_REVIT!$F:$F,P$4)</f>
        <v>0</v>
      </c>
      <c r="Q76" s="13" t="n">
        <f aca="false">SUMIFS(BD_REVIT!$H:$H,BD_REVIT!$C:$C,$A76,BD_REVIT!$F:$F,Q$4)</f>
        <v>0</v>
      </c>
      <c r="R76" s="13" t="n">
        <f aca="false">SUMIFS(BD_REVIT!$H:$H,BD_REVIT!$C:$C,$A76,BD_REVIT!$F:$F,R$4)</f>
        <v>0</v>
      </c>
      <c r="S76" s="13" t="n">
        <f aca="false">SUMIFS(BD_REVIT!$H:$H,BD_REVIT!$C:$C,$A76,BD_REVIT!$F:$F,S$4)</f>
        <v>0</v>
      </c>
      <c r="T76" s="13" t="n">
        <f aca="false">SUMIFS(BD_REVIT!$H:$H,BD_REVIT!$C:$C,$A76,BD_REVIT!$F:$F,T$4)</f>
        <v>0</v>
      </c>
      <c r="U76" s="13" t="n">
        <f aca="false">SUMIFS(BD_REVIT!$H:$H,BD_REVIT!$C:$C,$A76,BD_REVIT!$F:$F,U$4)</f>
        <v>0</v>
      </c>
      <c r="V76" s="13" t="n">
        <f aca="false">SUMIFS(BD_REVIT!$H:$H,BD_REVIT!$C:$C,$A76,BD_REVIT!$F:$F,V$4)</f>
        <v>0</v>
      </c>
      <c r="W76" s="13" t="n">
        <f aca="false">SUMIFS(BD_REVIT!$H:$H,BD_REVIT!$C:$C,$A76,BD_REVIT!$F:$F,W$4)</f>
        <v>0</v>
      </c>
      <c r="X76" s="13" t="n">
        <f aca="false">SUMIFS(BD_REVIT!$H:$H,BD_REVIT!$C:$C,$A76,BD_REVIT!$F:$F,X$4)</f>
        <v>0</v>
      </c>
      <c r="Y76" s="13" t="n">
        <f aca="false">SUMIFS(BD_REVIT!$H:$H,BD_REVIT!$C:$C,$A76,BD_REVIT!$F:$F,Y$4)</f>
        <v>0</v>
      </c>
      <c r="Z76" s="52" t="n">
        <f aca="false">SUM(D76:Y76)</f>
        <v>7</v>
      </c>
      <c r="AA76" s="13" t="n">
        <f aca="false">NIVEL!D467</f>
        <v>7</v>
      </c>
      <c r="AB76" s="13" t="n">
        <f aca="false">ROUND(Z76-AA76,2)</f>
        <v>0</v>
      </c>
    </row>
    <row r="77" customFormat="false" ht="15" hidden="false" customHeight="false" outlineLevel="0" collapsed="false">
      <c r="A77" s="10" t="s">
        <v>831</v>
      </c>
      <c r="B77" s="51" t="s">
        <v>832</v>
      </c>
      <c r="C77" s="10" t="s">
        <v>61</v>
      </c>
      <c r="D77" s="13" t="n">
        <f aca="false">SUMIFS(BD_REVIT!$H:$H,BD_REVIT!$C:$C,$A77,BD_REVIT!$F:$F,D$4)</f>
        <v>2</v>
      </c>
      <c r="E77" s="13" t="n">
        <f aca="false">SUMIFS(BD_REVIT!$H:$H,BD_REVIT!$C:$C,$A77,BD_REVIT!$F:$F,E$4)</f>
        <v>0</v>
      </c>
      <c r="F77" s="13" t="n">
        <f aca="false">SUMIFS(BD_REVIT!$H:$H,BD_REVIT!$C:$C,$A77,BD_REVIT!$F:$F,F$4)</f>
        <v>1</v>
      </c>
      <c r="G77" s="13" t="n">
        <f aca="false">SUMIFS(BD_REVIT!$H:$H,BD_REVIT!$C:$C,$A77,BD_REVIT!$F:$F,G$4)</f>
        <v>1</v>
      </c>
      <c r="H77" s="13" t="n">
        <f aca="false">SUMIFS(BD_REVIT!$H:$H,BD_REVIT!$C:$C,$A77,BD_REVIT!$F:$F,H$4)</f>
        <v>1</v>
      </c>
      <c r="I77" s="13" t="n">
        <f aca="false">SUMIFS(BD_REVIT!$H:$H,BD_REVIT!$C:$C,$A77,BD_REVIT!$F:$F,I$4)</f>
        <v>2</v>
      </c>
      <c r="J77" s="13" t="n">
        <f aca="false">SUMIFS(BD_REVIT!$H:$H,BD_REVIT!$C:$C,$A77,BD_REVIT!$F:$F,J$4)</f>
        <v>1</v>
      </c>
      <c r="K77" s="13" t="n">
        <f aca="false">SUMIFS(BD_REVIT!$H:$H,BD_REVIT!$C:$C,$A77,BD_REVIT!$F:$F,K$4)</f>
        <v>2</v>
      </c>
      <c r="L77" s="13" t="n">
        <f aca="false">SUMIFS(BD_REVIT!$H:$H,BD_REVIT!$C:$C,$A77,BD_REVIT!$F:$F,L$4)</f>
        <v>2</v>
      </c>
      <c r="M77" s="13" t="n">
        <f aca="false">SUMIFS(BD_REVIT!$H:$H,BD_REVIT!$C:$C,$A77,BD_REVIT!$F:$F,M$4)</f>
        <v>2</v>
      </c>
      <c r="N77" s="13" t="n">
        <f aca="false">SUMIFS(BD_REVIT!$H:$H,BD_REVIT!$C:$C,$A77,BD_REVIT!$F:$F,N$4)</f>
        <v>2</v>
      </c>
      <c r="O77" s="13" t="n">
        <f aca="false">SUMIFS(BD_REVIT!$H:$H,BD_REVIT!$C:$C,$A77,BD_REVIT!$F:$F,O$4)</f>
        <v>2</v>
      </c>
      <c r="P77" s="13" t="n">
        <f aca="false">SUMIFS(BD_REVIT!$H:$H,BD_REVIT!$C:$C,$A77,BD_REVIT!$F:$F,P$4)</f>
        <v>2</v>
      </c>
      <c r="Q77" s="13" t="n">
        <f aca="false">SUMIFS(BD_REVIT!$H:$H,BD_REVIT!$C:$C,$A77,BD_REVIT!$F:$F,Q$4)</f>
        <v>2</v>
      </c>
      <c r="R77" s="13" t="n">
        <f aca="false">SUMIFS(BD_REVIT!$H:$H,BD_REVIT!$C:$C,$A77,BD_REVIT!$F:$F,R$4)</f>
        <v>2</v>
      </c>
      <c r="S77" s="13" t="n">
        <f aca="false">SUMIFS(BD_REVIT!$H:$H,BD_REVIT!$C:$C,$A77,BD_REVIT!$F:$F,S$4)</f>
        <v>2</v>
      </c>
      <c r="T77" s="13" t="n">
        <f aca="false">SUMIFS(BD_REVIT!$H:$H,BD_REVIT!$C:$C,$A77,BD_REVIT!$F:$F,T$4)</f>
        <v>2</v>
      </c>
      <c r="U77" s="13" t="n">
        <f aca="false">SUMIFS(BD_REVIT!$H:$H,BD_REVIT!$C:$C,$A77,BD_REVIT!$F:$F,U$4)</f>
        <v>2</v>
      </c>
      <c r="V77" s="13" t="n">
        <f aca="false">SUMIFS(BD_REVIT!$H:$H,BD_REVIT!$C:$C,$A77,BD_REVIT!$F:$F,V$4)</f>
        <v>3</v>
      </c>
      <c r="W77" s="13" t="n">
        <f aca="false">SUMIFS(BD_REVIT!$H:$H,BD_REVIT!$C:$C,$A77,BD_REVIT!$F:$F,W$4)</f>
        <v>2</v>
      </c>
      <c r="X77" s="13" t="n">
        <f aca="false">SUMIFS(BD_REVIT!$H:$H,BD_REVIT!$C:$C,$A77,BD_REVIT!$F:$F,X$4)</f>
        <v>2</v>
      </c>
      <c r="Y77" s="13" t="n">
        <f aca="false">SUMIFS(BD_REVIT!$H:$H,BD_REVIT!$C:$C,$A77,BD_REVIT!$F:$F,Y$4)</f>
        <v>0</v>
      </c>
      <c r="Z77" s="52" t="n">
        <f aca="false">SUM(D77:Y77)</f>
        <v>37</v>
      </c>
      <c r="AA77" s="13" t="n">
        <f aca="false">NIVEL!D468</f>
        <v>37</v>
      </c>
      <c r="AB77" s="13" t="n">
        <f aca="false">ROUND(Z77-AA77,2)</f>
        <v>0</v>
      </c>
    </row>
    <row r="78" customFormat="false" ht="15" hidden="false" customHeight="false" outlineLevel="0" collapsed="false">
      <c r="A78" s="10" t="s">
        <v>833</v>
      </c>
      <c r="B78" s="51" t="s">
        <v>834</v>
      </c>
      <c r="C78" s="10" t="s">
        <v>61</v>
      </c>
      <c r="D78" s="13" t="n">
        <f aca="false">SUMIFS(BD_REVIT!$H:$H,BD_REVIT!$C:$C,$A78,BD_REVIT!$F:$F,D$4)</f>
        <v>0</v>
      </c>
      <c r="E78" s="13" t="n">
        <f aca="false">SUMIFS(BD_REVIT!$H:$H,BD_REVIT!$C:$C,$A78,BD_REVIT!$F:$F,E$4)</f>
        <v>0</v>
      </c>
      <c r="F78" s="13" t="n">
        <f aca="false">SUMIFS(BD_REVIT!$H:$H,BD_REVIT!$C:$C,$A78,BD_REVIT!$F:$F,F$4)</f>
        <v>0</v>
      </c>
      <c r="G78" s="13" t="n">
        <f aca="false">SUMIFS(BD_REVIT!$H:$H,BD_REVIT!$C:$C,$A78,BD_REVIT!$F:$F,G$4)</f>
        <v>0</v>
      </c>
      <c r="H78" s="13" t="n">
        <f aca="false">SUMIFS(BD_REVIT!$H:$H,BD_REVIT!$C:$C,$A78,BD_REVIT!$F:$F,H$4)</f>
        <v>0</v>
      </c>
      <c r="I78" s="13" t="n">
        <f aca="false">SUMIFS(BD_REVIT!$H:$H,BD_REVIT!$C:$C,$A78,BD_REVIT!$F:$F,I$4)</f>
        <v>0</v>
      </c>
      <c r="J78" s="13" t="n">
        <f aca="false">SUMIFS(BD_REVIT!$H:$H,BD_REVIT!$C:$C,$A78,BD_REVIT!$F:$F,J$4)</f>
        <v>0</v>
      </c>
      <c r="K78" s="13" t="n">
        <f aca="false">SUMIFS(BD_REVIT!$H:$H,BD_REVIT!$C:$C,$A78,BD_REVIT!$F:$F,K$4)</f>
        <v>0</v>
      </c>
      <c r="L78" s="13" t="n">
        <f aca="false">SUMIFS(BD_REVIT!$H:$H,BD_REVIT!$C:$C,$A78,BD_REVIT!$F:$F,L$4)</f>
        <v>0</v>
      </c>
      <c r="M78" s="13" t="n">
        <f aca="false">SUMIFS(BD_REVIT!$H:$H,BD_REVIT!$C:$C,$A78,BD_REVIT!$F:$F,M$4)</f>
        <v>0</v>
      </c>
      <c r="N78" s="13" t="n">
        <f aca="false">SUMIFS(BD_REVIT!$H:$H,BD_REVIT!$C:$C,$A78,BD_REVIT!$F:$F,N$4)</f>
        <v>0</v>
      </c>
      <c r="O78" s="13" t="n">
        <f aca="false">SUMIFS(BD_REVIT!$H:$H,BD_REVIT!$C:$C,$A78,BD_REVIT!$F:$F,O$4)</f>
        <v>0</v>
      </c>
      <c r="P78" s="13" t="n">
        <f aca="false">SUMIFS(BD_REVIT!$H:$H,BD_REVIT!$C:$C,$A78,BD_REVIT!$F:$F,P$4)</f>
        <v>0</v>
      </c>
      <c r="Q78" s="13" t="n">
        <f aca="false">SUMIFS(BD_REVIT!$H:$H,BD_REVIT!$C:$C,$A78,BD_REVIT!$F:$F,Q$4)</f>
        <v>0</v>
      </c>
      <c r="R78" s="13" t="n">
        <f aca="false">SUMIFS(BD_REVIT!$H:$H,BD_REVIT!$C:$C,$A78,BD_REVIT!$F:$F,R$4)</f>
        <v>0</v>
      </c>
      <c r="S78" s="13" t="n">
        <f aca="false">SUMIFS(BD_REVIT!$H:$H,BD_REVIT!$C:$C,$A78,BD_REVIT!$F:$F,S$4)</f>
        <v>0</v>
      </c>
      <c r="T78" s="13" t="n">
        <f aca="false">SUMIFS(BD_REVIT!$H:$H,BD_REVIT!$C:$C,$A78,BD_REVIT!$F:$F,T$4)</f>
        <v>0</v>
      </c>
      <c r="U78" s="13" t="n">
        <f aca="false">SUMIFS(BD_REVIT!$H:$H,BD_REVIT!$C:$C,$A78,BD_REVIT!$F:$F,U$4)</f>
        <v>0</v>
      </c>
      <c r="V78" s="13" t="n">
        <f aca="false">SUMIFS(BD_REVIT!$H:$H,BD_REVIT!$C:$C,$A78,BD_REVIT!$F:$F,V$4)</f>
        <v>2</v>
      </c>
      <c r="W78" s="13" t="n">
        <f aca="false">SUMIFS(BD_REVIT!$H:$H,BD_REVIT!$C:$C,$A78,BD_REVIT!$F:$F,W$4)</f>
        <v>0</v>
      </c>
      <c r="X78" s="13" t="n">
        <f aca="false">SUMIFS(BD_REVIT!$H:$H,BD_REVIT!$C:$C,$A78,BD_REVIT!$F:$F,X$4)</f>
        <v>0</v>
      </c>
      <c r="Y78" s="13" t="n">
        <f aca="false">SUMIFS(BD_REVIT!$H:$H,BD_REVIT!$C:$C,$A78,BD_REVIT!$F:$F,Y$4)</f>
        <v>0</v>
      </c>
      <c r="Z78" s="52" t="n">
        <f aca="false">SUM(D78:Y78)</f>
        <v>2</v>
      </c>
      <c r="AA78" s="13" t="n">
        <f aca="false">NIVEL!D469</f>
        <v>2</v>
      </c>
      <c r="AB78" s="13" t="n">
        <f aca="false">ROUND(Z78-AA78,2)</f>
        <v>0</v>
      </c>
    </row>
    <row r="79" customFormat="false" ht="15" hidden="false" customHeight="false" outlineLevel="0" collapsed="false">
      <c r="A79" s="10" t="s">
        <v>835</v>
      </c>
      <c r="B79" s="51" t="s">
        <v>836</v>
      </c>
      <c r="C79" s="10" t="s">
        <v>61</v>
      </c>
      <c r="D79" s="13" t="n">
        <f aca="false">SUMIFS(BD_REVIT!$H:$H,BD_REVIT!$C:$C,$A79,BD_REVIT!$F:$F,D$4)</f>
        <v>2</v>
      </c>
      <c r="E79" s="13" t="n">
        <f aca="false">SUMIFS(BD_REVIT!$H:$H,BD_REVIT!$C:$C,$A79,BD_REVIT!$F:$F,E$4)</f>
        <v>0</v>
      </c>
      <c r="F79" s="13" t="n">
        <f aca="false">SUMIFS(BD_REVIT!$H:$H,BD_REVIT!$C:$C,$A79,BD_REVIT!$F:$F,F$4)</f>
        <v>2</v>
      </c>
      <c r="G79" s="13" t="n">
        <f aca="false">SUMIFS(BD_REVIT!$H:$H,BD_REVIT!$C:$C,$A79,BD_REVIT!$F:$F,G$4)</f>
        <v>4</v>
      </c>
      <c r="H79" s="13" t="n">
        <f aca="false">SUMIFS(BD_REVIT!$H:$H,BD_REVIT!$C:$C,$A79,BD_REVIT!$F:$F,H$4)</f>
        <v>3</v>
      </c>
      <c r="I79" s="13" t="n">
        <f aca="false">SUMIFS(BD_REVIT!$H:$H,BD_REVIT!$C:$C,$A79,BD_REVIT!$F:$F,I$4)</f>
        <v>4</v>
      </c>
      <c r="J79" s="13" t="n">
        <f aca="false">SUMIFS(BD_REVIT!$H:$H,BD_REVIT!$C:$C,$A79,BD_REVIT!$F:$F,J$4)</f>
        <v>4</v>
      </c>
      <c r="K79" s="13" t="n">
        <f aca="false">SUMIFS(BD_REVIT!$H:$H,BD_REVIT!$C:$C,$A79,BD_REVIT!$F:$F,K$4)</f>
        <v>5</v>
      </c>
      <c r="L79" s="13" t="n">
        <f aca="false">SUMIFS(BD_REVIT!$H:$H,BD_REVIT!$C:$C,$A79,BD_REVIT!$F:$F,L$4)</f>
        <v>0</v>
      </c>
      <c r="M79" s="13" t="n">
        <f aca="false">SUMIFS(BD_REVIT!$H:$H,BD_REVIT!$C:$C,$A79,BD_REVIT!$F:$F,M$4)</f>
        <v>0</v>
      </c>
      <c r="N79" s="13" t="n">
        <f aca="false">SUMIFS(BD_REVIT!$H:$H,BD_REVIT!$C:$C,$A79,BD_REVIT!$F:$F,N$4)</f>
        <v>0</v>
      </c>
      <c r="O79" s="13" t="n">
        <f aca="false">SUMIFS(BD_REVIT!$H:$H,BD_REVIT!$C:$C,$A79,BD_REVIT!$F:$F,O$4)</f>
        <v>0</v>
      </c>
      <c r="P79" s="13" t="n">
        <f aca="false">SUMIFS(BD_REVIT!$H:$H,BD_REVIT!$C:$C,$A79,BD_REVIT!$F:$F,P$4)</f>
        <v>0</v>
      </c>
      <c r="Q79" s="13" t="n">
        <f aca="false">SUMIFS(BD_REVIT!$H:$H,BD_REVIT!$C:$C,$A79,BD_REVIT!$F:$F,Q$4)</f>
        <v>0</v>
      </c>
      <c r="R79" s="13" t="n">
        <f aca="false">SUMIFS(BD_REVIT!$H:$H,BD_REVIT!$C:$C,$A79,BD_REVIT!$F:$F,R$4)</f>
        <v>0</v>
      </c>
      <c r="S79" s="13" t="n">
        <f aca="false">SUMIFS(BD_REVIT!$H:$H,BD_REVIT!$C:$C,$A79,BD_REVIT!$F:$F,S$4)</f>
        <v>0</v>
      </c>
      <c r="T79" s="13" t="n">
        <f aca="false">SUMIFS(BD_REVIT!$H:$H,BD_REVIT!$C:$C,$A79,BD_REVIT!$F:$F,T$4)</f>
        <v>0</v>
      </c>
      <c r="U79" s="13" t="n">
        <f aca="false">SUMIFS(BD_REVIT!$H:$H,BD_REVIT!$C:$C,$A79,BD_REVIT!$F:$F,U$4)</f>
        <v>0</v>
      </c>
      <c r="V79" s="13" t="n">
        <f aca="false">SUMIFS(BD_REVIT!$H:$H,BD_REVIT!$C:$C,$A79,BD_REVIT!$F:$F,V$4)</f>
        <v>2</v>
      </c>
      <c r="W79" s="13" t="n">
        <f aca="false">SUMIFS(BD_REVIT!$H:$H,BD_REVIT!$C:$C,$A79,BD_REVIT!$F:$F,W$4)</f>
        <v>0</v>
      </c>
      <c r="X79" s="13" t="n">
        <f aca="false">SUMIFS(BD_REVIT!$H:$H,BD_REVIT!$C:$C,$A79,BD_REVIT!$F:$F,X$4)</f>
        <v>0</v>
      </c>
      <c r="Y79" s="13" t="n">
        <f aca="false">SUMIFS(BD_REVIT!$H:$H,BD_REVIT!$C:$C,$A79,BD_REVIT!$F:$F,Y$4)</f>
        <v>0</v>
      </c>
      <c r="Z79" s="52" t="n">
        <f aca="false">SUM(D79:Y79)</f>
        <v>26</v>
      </c>
      <c r="AA79" s="13" t="n">
        <f aca="false">NIVEL!D470</f>
        <v>26</v>
      </c>
      <c r="AB79" s="13" t="n">
        <f aca="false">ROUND(Z79-AA79,2)</f>
        <v>0</v>
      </c>
    </row>
    <row r="80" customFormat="false" ht="15" hidden="false" customHeight="false" outlineLevel="0" collapsed="false">
      <c r="A80" s="10" t="s">
        <v>837</v>
      </c>
      <c r="B80" s="51" t="s">
        <v>838</v>
      </c>
      <c r="C80" s="10" t="s">
        <v>61</v>
      </c>
      <c r="D80" s="13" t="n">
        <f aca="false">SUMIFS(BD_REVIT!$H:$H,BD_REVIT!$C:$C,$A80,BD_REVIT!$F:$F,D$4)</f>
        <v>2</v>
      </c>
      <c r="E80" s="13" t="n">
        <f aca="false">SUMIFS(BD_REVIT!$H:$H,BD_REVIT!$C:$C,$A80,BD_REVIT!$F:$F,E$4)</f>
        <v>0</v>
      </c>
      <c r="F80" s="13" t="n">
        <f aca="false">SUMIFS(BD_REVIT!$H:$H,BD_REVIT!$C:$C,$A80,BD_REVIT!$F:$F,F$4)</f>
        <v>0</v>
      </c>
      <c r="G80" s="13" t="n">
        <f aca="false">SUMIFS(BD_REVIT!$H:$H,BD_REVIT!$C:$C,$A80,BD_REVIT!$F:$F,G$4)</f>
        <v>0</v>
      </c>
      <c r="H80" s="13" t="n">
        <f aca="false">SUMIFS(BD_REVIT!$H:$H,BD_REVIT!$C:$C,$A80,BD_REVIT!$F:$F,H$4)</f>
        <v>0</v>
      </c>
      <c r="I80" s="13" t="n">
        <f aca="false">SUMIFS(BD_REVIT!$H:$H,BD_REVIT!$C:$C,$A80,BD_REVIT!$F:$F,I$4)</f>
        <v>0</v>
      </c>
      <c r="J80" s="13" t="n">
        <f aca="false">SUMIFS(BD_REVIT!$H:$H,BD_REVIT!$C:$C,$A80,BD_REVIT!$F:$F,J$4)</f>
        <v>0</v>
      </c>
      <c r="K80" s="13" t="n">
        <f aca="false">SUMIFS(BD_REVIT!$H:$H,BD_REVIT!$C:$C,$A80,BD_REVIT!$F:$F,K$4)</f>
        <v>0</v>
      </c>
      <c r="L80" s="13" t="n">
        <f aca="false">SUMIFS(BD_REVIT!$H:$H,BD_REVIT!$C:$C,$A80,BD_REVIT!$F:$F,L$4)</f>
        <v>0</v>
      </c>
      <c r="M80" s="13" t="n">
        <f aca="false">SUMIFS(BD_REVIT!$H:$H,BD_REVIT!$C:$C,$A80,BD_REVIT!$F:$F,M$4)</f>
        <v>0</v>
      </c>
      <c r="N80" s="13" t="n">
        <f aca="false">SUMIFS(BD_REVIT!$H:$H,BD_REVIT!$C:$C,$A80,BD_REVIT!$F:$F,N$4)</f>
        <v>0</v>
      </c>
      <c r="O80" s="13" t="n">
        <f aca="false">SUMIFS(BD_REVIT!$H:$H,BD_REVIT!$C:$C,$A80,BD_REVIT!$F:$F,O$4)</f>
        <v>0</v>
      </c>
      <c r="P80" s="13" t="n">
        <f aca="false">SUMIFS(BD_REVIT!$H:$H,BD_REVIT!$C:$C,$A80,BD_REVIT!$F:$F,P$4)</f>
        <v>0</v>
      </c>
      <c r="Q80" s="13" t="n">
        <f aca="false">SUMIFS(BD_REVIT!$H:$H,BD_REVIT!$C:$C,$A80,BD_REVIT!$F:$F,Q$4)</f>
        <v>0</v>
      </c>
      <c r="R80" s="13" t="n">
        <f aca="false">SUMIFS(BD_REVIT!$H:$H,BD_REVIT!$C:$C,$A80,BD_REVIT!$F:$F,R$4)</f>
        <v>0</v>
      </c>
      <c r="S80" s="13" t="n">
        <f aca="false">SUMIFS(BD_REVIT!$H:$H,BD_REVIT!$C:$C,$A80,BD_REVIT!$F:$F,S$4)</f>
        <v>0</v>
      </c>
      <c r="T80" s="13" t="n">
        <f aca="false">SUMIFS(BD_REVIT!$H:$H,BD_REVIT!$C:$C,$A80,BD_REVIT!$F:$F,T$4)</f>
        <v>0</v>
      </c>
      <c r="U80" s="13" t="n">
        <f aca="false">SUMIFS(BD_REVIT!$H:$H,BD_REVIT!$C:$C,$A80,BD_REVIT!$F:$F,U$4)</f>
        <v>0</v>
      </c>
      <c r="V80" s="13" t="n">
        <f aca="false">SUMIFS(BD_REVIT!$H:$H,BD_REVIT!$C:$C,$A80,BD_REVIT!$F:$F,V$4)</f>
        <v>2</v>
      </c>
      <c r="W80" s="13" t="n">
        <f aca="false">SUMIFS(BD_REVIT!$H:$H,BD_REVIT!$C:$C,$A80,BD_REVIT!$F:$F,W$4)</f>
        <v>0</v>
      </c>
      <c r="X80" s="13" t="n">
        <f aca="false">SUMIFS(BD_REVIT!$H:$H,BD_REVIT!$C:$C,$A80,BD_REVIT!$F:$F,X$4)</f>
        <v>0</v>
      </c>
      <c r="Y80" s="13" t="n">
        <f aca="false">SUMIFS(BD_REVIT!$H:$H,BD_REVIT!$C:$C,$A80,BD_REVIT!$F:$F,Y$4)</f>
        <v>0</v>
      </c>
      <c r="Z80" s="52" t="n">
        <f aca="false">SUM(D80:Y80)</f>
        <v>4</v>
      </c>
      <c r="AA80" s="13" t="n">
        <f aca="false">NIVEL!D471</f>
        <v>4</v>
      </c>
      <c r="AB80" s="13" t="n">
        <f aca="false">ROUND(Z80-AA80,2)</f>
        <v>0</v>
      </c>
    </row>
    <row r="81" customFormat="false" ht="15" hidden="false" customHeight="false" outlineLevel="0" collapsed="false">
      <c r="A81" s="10" t="s">
        <v>839</v>
      </c>
      <c r="B81" s="51" t="s">
        <v>840</v>
      </c>
      <c r="C81" s="10" t="s">
        <v>61</v>
      </c>
      <c r="D81" s="13" t="n">
        <f aca="false">SUMIFS(BD_REVIT!$H:$H,BD_REVIT!$C:$C,$A81,BD_REVIT!$F:$F,D$4)</f>
        <v>1</v>
      </c>
      <c r="E81" s="13" t="n">
        <f aca="false">SUMIFS(BD_REVIT!$H:$H,BD_REVIT!$C:$C,$A81,BD_REVIT!$F:$F,E$4)</f>
        <v>0</v>
      </c>
      <c r="F81" s="13" t="n">
        <f aca="false">SUMIFS(BD_REVIT!$H:$H,BD_REVIT!$C:$C,$A81,BD_REVIT!$F:$F,F$4)</f>
        <v>0</v>
      </c>
      <c r="G81" s="13" t="n">
        <f aca="false">SUMIFS(BD_REVIT!$H:$H,BD_REVIT!$C:$C,$A81,BD_REVIT!$F:$F,G$4)</f>
        <v>0</v>
      </c>
      <c r="H81" s="13" t="n">
        <f aca="false">SUMIFS(BD_REVIT!$H:$H,BD_REVIT!$C:$C,$A81,BD_REVIT!$F:$F,H$4)</f>
        <v>0</v>
      </c>
      <c r="I81" s="13" t="n">
        <f aca="false">SUMIFS(BD_REVIT!$H:$H,BD_REVIT!$C:$C,$A81,BD_REVIT!$F:$F,I$4)</f>
        <v>0</v>
      </c>
      <c r="J81" s="13" t="n">
        <f aca="false">SUMIFS(BD_REVIT!$H:$H,BD_REVIT!$C:$C,$A81,BD_REVIT!$F:$F,J$4)</f>
        <v>0</v>
      </c>
      <c r="K81" s="13" t="n">
        <f aca="false">SUMIFS(BD_REVIT!$H:$H,BD_REVIT!$C:$C,$A81,BD_REVIT!$F:$F,K$4)</f>
        <v>0</v>
      </c>
      <c r="L81" s="13" t="n">
        <f aca="false">SUMIFS(BD_REVIT!$H:$H,BD_REVIT!$C:$C,$A81,BD_REVIT!$F:$F,L$4)</f>
        <v>0</v>
      </c>
      <c r="M81" s="13" t="n">
        <f aca="false">SUMIFS(BD_REVIT!$H:$H,BD_REVIT!$C:$C,$A81,BD_REVIT!$F:$F,M$4)</f>
        <v>0</v>
      </c>
      <c r="N81" s="13" t="n">
        <f aca="false">SUMIFS(BD_REVIT!$H:$H,BD_REVIT!$C:$C,$A81,BD_REVIT!$F:$F,N$4)</f>
        <v>0</v>
      </c>
      <c r="O81" s="13" t="n">
        <f aca="false">SUMIFS(BD_REVIT!$H:$H,BD_REVIT!$C:$C,$A81,BD_REVIT!$F:$F,O$4)</f>
        <v>0</v>
      </c>
      <c r="P81" s="13" t="n">
        <f aca="false">SUMIFS(BD_REVIT!$H:$H,BD_REVIT!$C:$C,$A81,BD_REVIT!$F:$F,P$4)</f>
        <v>0</v>
      </c>
      <c r="Q81" s="13" t="n">
        <f aca="false">SUMIFS(BD_REVIT!$H:$H,BD_REVIT!$C:$C,$A81,BD_REVIT!$F:$F,Q$4)</f>
        <v>0</v>
      </c>
      <c r="R81" s="13" t="n">
        <f aca="false">SUMIFS(BD_REVIT!$H:$H,BD_REVIT!$C:$C,$A81,BD_REVIT!$F:$F,R$4)</f>
        <v>0</v>
      </c>
      <c r="S81" s="13" t="n">
        <f aca="false">SUMIFS(BD_REVIT!$H:$H,BD_REVIT!$C:$C,$A81,BD_REVIT!$F:$F,S$4)</f>
        <v>0</v>
      </c>
      <c r="T81" s="13" t="n">
        <f aca="false">SUMIFS(BD_REVIT!$H:$H,BD_REVIT!$C:$C,$A81,BD_REVIT!$F:$F,T$4)</f>
        <v>0</v>
      </c>
      <c r="U81" s="13" t="n">
        <f aca="false">SUMIFS(BD_REVIT!$H:$H,BD_REVIT!$C:$C,$A81,BD_REVIT!$F:$F,U$4)</f>
        <v>0</v>
      </c>
      <c r="V81" s="13" t="n">
        <f aca="false">SUMIFS(BD_REVIT!$H:$H,BD_REVIT!$C:$C,$A81,BD_REVIT!$F:$F,V$4)</f>
        <v>0</v>
      </c>
      <c r="W81" s="13" t="n">
        <f aca="false">SUMIFS(BD_REVIT!$H:$H,BD_REVIT!$C:$C,$A81,BD_REVIT!$F:$F,W$4)</f>
        <v>0</v>
      </c>
      <c r="X81" s="13" t="n">
        <f aca="false">SUMIFS(BD_REVIT!$H:$H,BD_REVIT!$C:$C,$A81,BD_REVIT!$F:$F,X$4)</f>
        <v>0</v>
      </c>
      <c r="Y81" s="13" t="n">
        <f aca="false">SUMIFS(BD_REVIT!$H:$H,BD_REVIT!$C:$C,$A81,BD_REVIT!$F:$F,Y$4)</f>
        <v>0</v>
      </c>
      <c r="Z81" s="52" t="n">
        <f aca="false">SUM(D81:Y81)</f>
        <v>1</v>
      </c>
      <c r="AA81" s="13" t="n">
        <f aca="false">NIVEL!D472</f>
        <v>1</v>
      </c>
      <c r="AB81" s="13" t="n">
        <f aca="false">ROUND(Z81-AA81,2)</f>
        <v>0</v>
      </c>
    </row>
    <row r="82" customFormat="false" ht="15" hidden="false" customHeight="false" outlineLevel="0" collapsed="false">
      <c r="A82" s="10" t="s">
        <v>841</v>
      </c>
      <c r="B82" s="51" t="s">
        <v>842</v>
      </c>
      <c r="C82" s="10" t="s">
        <v>61</v>
      </c>
      <c r="D82" s="13" t="n">
        <f aca="false">SUMIFS(BD_REVIT!$H:$H,BD_REVIT!$C:$C,$A82,BD_REVIT!$F:$F,D$4)</f>
        <v>0</v>
      </c>
      <c r="E82" s="13" t="n">
        <f aca="false">SUMIFS(BD_REVIT!$H:$H,BD_REVIT!$C:$C,$A82,BD_REVIT!$F:$F,E$4)</f>
        <v>0</v>
      </c>
      <c r="F82" s="13" t="n">
        <f aca="false">SUMIFS(BD_REVIT!$H:$H,BD_REVIT!$C:$C,$A82,BD_REVIT!$F:$F,F$4)</f>
        <v>3</v>
      </c>
      <c r="G82" s="13" t="n">
        <f aca="false">SUMIFS(BD_REVIT!$H:$H,BD_REVIT!$C:$C,$A82,BD_REVIT!$F:$F,G$4)</f>
        <v>2</v>
      </c>
      <c r="H82" s="13" t="n">
        <f aca="false">SUMIFS(BD_REVIT!$H:$H,BD_REVIT!$C:$C,$A82,BD_REVIT!$F:$F,H$4)</f>
        <v>2</v>
      </c>
      <c r="I82" s="13" t="n">
        <f aca="false">SUMIFS(BD_REVIT!$H:$H,BD_REVIT!$C:$C,$A82,BD_REVIT!$F:$F,I$4)</f>
        <v>2</v>
      </c>
      <c r="J82" s="13" t="n">
        <f aca="false">SUMIFS(BD_REVIT!$H:$H,BD_REVIT!$C:$C,$A82,BD_REVIT!$F:$F,J$4)</f>
        <v>6</v>
      </c>
      <c r="K82" s="13" t="n">
        <f aca="false">SUMIFS(BD_REVIT!$H:$H,BD_REVIT!$C:$C,$A82,BD_REVIT!$F:$F,K$4)</f>
        <v>7</v>
      </c>
      <c r="L82" s="13" t="n">
        <f aca="false">SUMIFS(BD_REVIT!$H:$H,BD_REVIT!$C:$C,$A82,BD_REVIT!$F:$F,L$4)</f>
        <v>0</v>
      </c>
      <c r="M82" s="13" t="n">
        <f aca="false">SUMIFS(BD_REVIT!$H:$H,BD_REVIT!$C:$C,$A82,BD_REVIT!$F:$F,M$4)</f>
        <v>0</v>
      </c>
      <c r="N82" s="13" t="n">
        <f aca="false">SUMIFS(BD_REVIT!$H:$H,BD_REVIT!$C:$C,$A82,BD_REVIT!$F:$F,N$4)</f>
        <v>0</v>
      </c>
      <c r="O82" s="13" t="n">
        <f aca="false">SUMIFS(BD_REVIT!$H:$H,BD_REVIT!$C:$C,$A82,BD_REVIT!$F:$F,O$4)</f>
        <v>0</v>
      </c>
      <c r="P82" s="13" t="n">
        <f aca="false">SUMIFS(BD_REVIT!$H:$H,BD_REVIT!$C:$C,$A82,BD_REVIT!$F:$F,P$4)</f>
        <v>0</v>
      </c>
      <c r="Q82" s="13" t="n">
        <f aca="false">SUMIFS(BD_REVIT!$H:$H,BD_REVIT!$C:$C,$A82,BD_REVIT!$F:$F,Q$4)</f>
        <v>0</v>
      </c>
      <c r="R82" s="13" t="n">
        <f aca="false">SUMIFS(BD_REVIT!$H:$H,BD_REVIT!$C:$C,$A82,BD_REVIT!$F:$F,R$4)</f>
        <v>0</v>
      </c>
      <c r="S82" s="13" t="n">
        <f aca="false">SUMIFS(BD_REVIT!$H:$H,BD_REVIT!$C:$C,$A82,BD_REVIT!$F:$F,S$4)</f>
        <v>0</v>
      </c>
      <c r="T82" s="13" t="n">
        <f aca="false">SUMIFS(BD_REVIT!$H:$H,BD_REVIT!$C:$C,$A82,BD_REVIT!$F:$F,T$4)</f>
        <v>0</v>
      </c>
      <c r="U82" s="13" t="n">
        <f aca="false">SUMIFS(BD_REVIT!$H:$H,BD_REVIT!$C:$C,$A82,BD_REVIT!$F:$F,U$4)</f>
        <v>0</v>
      </c>
      <c r="V82" s="13" t="n">
        <f aca="false">SUMIFS(BD_REVIT!$H:$H,BD_REVIT!$C:$C,$A82,BD_REVIT!$F:$F,V$4)</f>
        <v>0</v>
      </c>
      <c r="W82" s="13" t="n">
        <f aca="false">SUMIFS(BD_REVIT!$H:$H,BD_REVIT!$C:$C,$A82,BD_REVIT!$F:$F,W$4)</f>
        <v>0</v>
      </c>
      <c r="X82" s="13" t="n">
        <f aca="false">SUMIFS(BD_REVIT!$H:$H,BD_REVIT!$C:$C,$A82,BD_REVIT!$F:$F,X$4)</f>
        <v>0</v>
      </c>
      <c r="Y82" s="13" t="n">
        <f aca="false">SUMIFS(BD_REVIT!$H:$H,BD_REVIT!$C:$C,$A82,BD_REVIT!$F:$F,Y$4)</f>
        <v>0</v>
      </c>
      <c r="Z82" s="52" t="n">
        <f aca="false">SUM(D82:Y82)</f>
        <v>22</v>
      </c>
      <c r="AA82" s="13" t="n">
        <f aca="false">NIVEL!D473</f>
        <v>22</v>
      </c>
      <c r="AB82" s="13" t="n">
        <f aca="false">ROUND(Z82-AA82,2)</f>
        <v>0</v>
      </c>
    </row>
    <row r="83" customFormat="false" ht="15" hidden="false" customHeight="false" outlineLevel="0" collapsed="false">
      <c r="A83" s="10" t="s">
        <v>843</v>
      </c>
      <c r="B83" s="51" t="s">
        <v>844</v>
      </c>
      <c r="C83" s="10" t="s">
        <v>61</v>
      </c>
      <c r="D83" s="13" t="n">
        <f aca="false">SUMIFS(BD_REVIT!$H:$H,BD_REVIT!$C:$C,$A83,BD_REVIT!$F:$F,D$4)</f>
        <v>0</v>
      </c>
      <c r="E83" s="13" t="n">
        <f aca="false">SUMIFS(BD_REVIT!$H:$H,BD_REVIT!$C:$C,$A83,BD_REVIT!$F:$F,E$4)</f>
        <v>0</v>
      </c>
      <c r="F83" s="13" t="n">
        <f aca="false">SUMIFS(BD_REVIT!$H:$H,BD_REVIT!$C:$C,$A83,BD_REVIT!$F:$F,F$4)</f>
        <v>0</v>
      </c>
      <c r="G83" s="13" t="n">
        <f aca="false">SUMIFS(BD_REVIT!$H:$H,BD_REVIT!$C:$C,$A83,BD_REVIT!$F:$F,G$4)</f>
        <v>0</v>
      </c>
      <c r="H83" s="13" t="n">
        <f aca="false">SUMIFS(BD_REVIT!$H:$H,BD_REVIT!$C:$C,$A83,BD_REVIT!$F:$F,H$4)</f>
        <v>0</v>
      </c>
      <c r="I83" s="13" t="n">
        <f aca="false">SUMIFS(BD_REVIT!$H:$H,BD_REVIT!$C:$C,$A83,BD_REVIT!$F:$F,I$4)</f>
        <v>0</v>
      </c>
      <c r="J83" s="13" t="n">
        <f aca="false">SUMIFS(BD_REVIT!$H:$H,BD_REVIT!$C:$C,$A83,BD_REVIT!$F:$F,J$4)</f>
        <v>0</v>
      </c>
      <c r="K83" s="13" t="n">
        <f aca="false">SUMIFS(BD_REVIT!$H:$H,BD_REVIT!$C:$C,$A83,BD_REVIT!$F:$F,K$4)</f>
        <v>0</v>
      </c>
      <c r="L83" s="13" t="n">
        <f aca="false">SUMIFS(BD_REVIT!$H:$H,BD_REVIT!$C:$C,$A83,BD_REVIT!$F:$F,L$4)</f>
        <v>0</v>
      </c>
      <c r="M83" s="13" t="n">
        <f aca="false">SUMIFS(BD_REVIT!$H:$H,BD_REVIT!$C:$C,$A83,BD_REVIT!$F:$F,M$4)</f>
        <v>0</v>
      </c>
      <c r="N83" s="13" t="n">
        <f aca="false">SUMIFS(BD_REVIT!$H:$H,BD_REVIT!$C:$C,$A83,BD_REVIT!$F:$F,N$4)</f>
        <v>0</v>
      </c>
      <c r="O83" s="13" t="n">
        <f aca="false">SUMIFS(BD_REVIT!$H:$H,BD_REVIT!$C:$C,$A83,BD_REVIT!$F:$F,O$4)</f>
        <v>0</v>
      </c>
      <c r="P83" s="13" t="n">
        <f aca="false">SUMIFS(BD_REVIT!$H:$H,BD_REVIT!$C:$C,$A83,BD_REVIT!$F:$F,P$4)</f>
        <v>0</v>
      </c>
      <c r="Q83" s="13" t="n">
        <f aca="false">SUMIFS(BD_REVIT!$H:$H,BD_REVIT!$C:$C,$A83,BD_REVIT!$F:$F,Q$4)</f>
        <v>0</v>
      </c>
      <c r="R83" s="13" t="n">
        <f aca="false">SUMIFS(BD_REVIT!$H:$H,BD_REVIT!$C:$C,$A83,BD_REVIT!$F:$F,R$4)</f>
        <v>0</v>
      </c>
      <c r="S83" s="13" t="n">
        <f aca="false">SUMIFS(BD_REVIT!$H:$H,BD_REVIT!$C:$C,$A83,BD_REVIT!$F:$F,S$4)</f>
        <v>0</v>
      </c>
      <c r="T83" s="13" t="n">
        <f aca="false">SUMIFS(BD_REVIT!$H:$H,BD_REVIT!$C:$C,$A83,BD_REVIT!$F:$F,T$4)</f>
        <v>0</v>
      </c>
      <c r="U83" s="13" t="n">
        <f aca="false">SUMIFS(BD_REVIT!$H:$H,BD_REVIT!$C:$C,$A83,BD_REVIT!$F:$F,U$4)</f>
        <v>0</v>
      </c>
      <c r="V83" s="13" t="n">
        <f aca="false">SUMIFS(BD_REVIT!$H:$H,BD_REVIT!$C:$C,$A83,BD_REVIT!$F:$F,V$4)</f>
        <v>0</v>
      </c>
      <c r="W83" s="13" t="n">
        <f aca="false">SUMIFS(BD_REVIT!$H:$H,BD_REVIT!$C:$C,$A83,BD_REVIT!$F:$F,W$4)</f>
        <v>0</v>
      </c>
      <c r="X83" s="13" t="n">
        <f aca="false">SUMIFS(BD_REVIT!$H:$H,BD_REVIT!$C:$C,$A83,BD_REVIT!$F:$F,X$4)</f>
        <v>0</v>
      </c>
      <c r="Y83" s="13" t="n">
        <f aca="false">SUMIFS(BD_REVIT!$H:$H,BD_REVIT!$C:$C,$A83,BD_REVIT!$F:$F,Y$4)</f>
        <v>0</v>
      </c>
      <c r="Z83" s="52" t="n">
        <f aca="false">SUM(D83:Y83)</f>
        <v>0</v>
      </c>
      <c r="AA83" s="13" t="n">
        <f aca="false">NIVEL!D474</f>
        <v>0</v>
      </c>
      <c r="AB83" s="13" t="n">
        <f aca="false">ROUND(Z83-AA83,2)</f>
        <v>0</v>
      </c>
    </row>
    <row r="84" customFormat="false" ht="15" hidden="false" customHeight="false" outlineLevel="0" collapsed="false">
      <c r="A84" s="10" t="s">
        <v>845</v>
      </c>
      <c r="B84" s="51" t="s">
        <v>846</v>
      </c>
      <c r="C84" s="10" t="s">
        <v>61</v>
      </c>
      <c r="D84" s="13" t="n">
        <f aca="false">SUMIFS(BD_REVIT!$H:$H,BD_REVIT!$C:$C,$A84,BD_REVIT!$F:$F,D$4)</f>
        <v>0</v>
      </c>
      <c r="E84" s="13" t="n">
        <f aca="false">SUMIFS(BD_REVIT!$H:$H,BD_REVIT!$C:$C,$A84,BD_REVIT!$F:$F,E$4)</f>
        <v>0</v>
      </c>
      <c r="F84" s="13" t="n">
        <f aca="false">SUMIFS(BD_REVIT!$H:$H,BD_REVIT!$C:$C,$A84,BD_REVIT!$F:$F,F$4)</f>
        <v>0</v>
      </c>
      <c r="G84" s="13" t="n">
        <f aca="false">SUMIFS(BD_REVIT!$H:$H,BD_REVIT!$C:$C,$A84,BD_REVIT!$F:$F,G$4)</f>
        <v>0</v>
      </c>
      <c r="H84" s="13" t="n">
        <f aca="false">SUMIFS(BD_REVIT!$H:$H,BD_REVIT!$C:$C,$A84,BD_REVIT!$F:$F,H$4)</f>
        <v>0</v>
      </c>
      <c r="I84" s="13" t="n">
        <f aca="false">SUMIFS(BD_REVIT!$H:$H,BD_REVIT!$C:$C,$A84,BD_REVIT!$F:$F,I$4)</f>
        <v>0</v>
      </c>
      <c r="J84" s="13" t="n">
        <f aca="false">SUMIFS(BD_REVIT!$H:$H,BD_REVIT!$C:$C,$A84,BD_REVIT!$F:$F,J$4)</f>
        <v>0</v>
      </c>
      <c r="K84" s="13" t="n">
        <f aca="false">SUMIFS(BD_REVIT!$H:$H,BD_REVIT!$C:$C,$A84,BD_REVIT!$F:$F,K$4)</f>
        <v>0</v>
      </c>
      <c r="L84" s="13" t="n">
        <f aca="false">SUMIFS(BD_REVIT!$H:$H,BD_REVIT!$C:$C,$A84,BD_REVIT!$F:$F,L$4)</f>
        <v>0</v>
      </c>
      <c r="M84" s="13" t="n">
        <f aca="false">SUMIFS(BD_REVIT!$H:$H,BD_REVIT!$C:$C,$A84,BD_REVIT!$F:$F,M$4)</f>
        <v>0</v>
      </c>
      <c r="N84" s="13" t="n">
        <f aca="false">SUMIFS(BD_REVIT!$H:$H,BD_REVIT!$C:$C,$A84,BD_REVIT!$F:$F,N$4)</f>
        <v>0</v>
      </c>
      <c r="O84" s="13" t="n">
        <f aca="false">SUMIFS(BD_REVIT!$H:$H,BD_REVIT!$C:$C,$A84,BD_REVIT!$F:$F,O$4)</f>
        <v>0</v>
      </c>
      <c r="P84" s="13" t="n">
        <f aca="false">SUMIFS(BD_REVIT!$H:$H,BD_REVIT!$C:$C,$A84,BD_REVIT!$F:$F,P$4)</f>
        <v>0</v>
      </c>
      <c r="Q84" s="13" t="n">
        <f aca="false">SUMIFS(BD_REVIT!$H:$H,BD_REVIT!$C:$C,$A84,BD_REVIT!$F:$F,Q$4)</f>
        <v>0</v>
      </c>
      <c r="R84" s="13" t="n">
        <f aca="false">SUMIFS(BD_REVIT!$H:$H,BD_REVIT!$C:$C,$A84,BD_REVIT!$F:$F,R$4)</f>
        <v>0</v>
      </c>
      <c r="S84" s="13" t="n">
        <f aca="false">SUMIFS(BD_REVIT!$H:$H,BD_REVIT!$C:$C,$A84,BD_REVIT!$F:$F,S$4)</f>
        <v>0</v>
      </c>
      <c r="T84" s="13" t="n">
        <f aca="false">SUMIFS(BD_REVIT!$H:$H,BD_REVIT!$C:$C,$A84,BD_REVIT!$F:$F,T$4)</f>
        <v>0</v>
      </c>
      <c r="U84" s="13" t="n">
        <f aca="false">SUMIFS(BD_REVIT!$H:$H,BD_REVIT!$C:$C,$A84,BD_REVIT!$F:$F,U$4)</f>
        <v>0</v>
      </c>
      <c r="V84" s="13" t="n">
        <f aca="false">SUMIFS(BD_REVIT!$H:$H,BD_REVIT!$C:$C,$A84,BD_REVIT!$F:$F,V$4)</f>
        <v>0</v>
      </c>
      <c r="W84" s="13" t="n">
        <f aca="false">SUMIFS(BD_REVIT!$H:$H,BD_REVIT!$C:$C,$A84,BD_REVIT!$F:$F,W$4)</f>
        <v>0</v>
      </c>
      <c r="X84" s="13" t="n">
        <f aca="false">SUMIFS(BD_REVIT!$H:$H,BD_REVIT!$C:$C,$A84,BD_REVIT!$F:$F,X$4)</f>
        <v>0</v>
      </c>
      <c r="Y84" s="13" t="n">
        <f aca="false">SUMIFS(BD_REVIT!$H:$H,BD_REVIT!$C:$C,$A84,BD_REVIT!$F:$F,Y$4)</f>
        <v>0</v>
      </c>
      <c r="Z84" s="52" t="n">
        <f aca="false">SUM(D84:Y84)</f>
        <v>0</v>
      </c>
      <c r="AA84" s="13" t="n">
        <f aca="false">NIVEL!D475</f>
        <v>0</v>
      </c>
      <c r="AB84" s="13" t="n">
        <f aca="false">ROUND(Z84-AA84,2)</f>
        <v>0</v>
      </c>
    </row>
    <row r="85" customFormat="false" ht="15" hidden="false" customHeight="false" outlineLevel="0" collapsed="false">
      <c r="A85" s="10" t="s">
        <v>847</v>
      </c>
      <c r="B85" s="51" t="s">
        <v>848</v>
      </c>
      <c r="C85" s="10" t="s">
        <v>61</v>
      </c>
      <c r="D85" s="13" t="n">
        <f aca="false">SUMIFS(BD_REVIT!$H:$H,BD_REVIT!$C:$C,$A85,BD_REVIT!$F:$F,D$4)</f>
        <v>0</v>
      </c>
      <c r="E85" s="13" t="n">
        <f aca="false">SUMIFS(BD_REVIT!$H:$H,BD_REVIT!$C:$C,$A85,BD_REVIT!$F:$F,E$4)</f>
        <v>0</v>
      </c>
      <c r="F85" s="13" t="n">
        <f aca="false">SUMIFS(BD_REVIT!$H:$H,BD_REVIT!$C:$C,$A85,BD_REVIT!$F:$F,F$4)</f>
        <v>0</v>
      </c>
      <c r="G85" s="13" t="n">
        <f aca="false">SUMIFS(BD_REVIT!$H:$H,BD_REVIT!$C:$C,$A85,BD_REVIT!$F:$F,G$4)</f>
        <v>0</v>
      </c>
      <c r="H85" s="13" t="n">
        <f aca="false">SUMIFS(BD_REVIT!$H:$H,BD_REVIT!$C:$C,$A85,BD_REVIT!$F:$F,H$4)</f>
        <v>0</v>
      </c>
      <c r="I85" s="13" t="n">
        <f aca="false">SUMIFS(BD_REVIT!$H:$H,BD_REVIT!$C:$C,$A85,BD_REVIT!$F:$F,I$4)</f>
        <v>0</v>
      </c>
      <c r="J85" s="13" t="n">
        <f aca="false">SUMIFS(BD_REVIT!$H:$H,BD_REVIT!$C:$C,$A85,BD_REVIT!$F:$F,J$4)</f>
        <v>0</v>
      </c>
      <c r="K85" s="13" t="n">
        <f aca="false">SUMIFS(BD_REVIT!$H:$H,BD_REVIT!$C:$C,$A85,BD_REVIT!$F:$F,K$4)</f>
        <v>0</v>
      </c>
      <c r="L85" s="13" t="n">
        <f aca="false">SUMIFS(BD_REVIT!$H:$H,BD_REVIT!$C:$C,$A85,BD_REVIT!$F:$F,L$4)</f>
        <v>0</v>
      </c>
      <c r="M85" s="13" t="n">
        <f aca="false">SUMIFS(BD_REVIT!$H:$H,BD_REVIT!$C:$C,$A85,BD_REVIT!$F:$F,M$4)</f>
        <v>0</v>
      </c>
      <c r="N85" s="13" t="n">
        <f aca="false">SUMIFS(BD_REVIT!$H:$H,BD_REVIT!$C:$C,$A85,BD_REVIT!$F:$F,N$4)</f>
        <v>0</v>
      </c>
      <c r="O85" s="13" t="n">
        <f aca="false">SUMIFS(BD_REVIT!$H:$H,BD_REVIT!$C:$C,$A85,BD_REVIT!$F:$F,O$4)</f>
        <v>0</v>
      </c>
      <c r="P85" s="13" t="n">
        <f aca="false">SUMIFS(BD_REVIT!$H:$H,BD_REVIT!$C:$C,$A85,BD_REVIT!$F:$F,P$4)</f>
        <v>0</v>
      </c>
      <c r="Q85" s="13" t="n">
        <f aca="false">SUMIFS(BD_REVIT!$H:$H,BD_REVIT!$C:$C,$A85,BD_REVIT!$F:$F,Q$4)</f>
        <v>0</v>
      </c>
      <c r="R85" s="13" t="n">
        <f aca="false">SUMIFS(BD_REVIT!$H:$H,BD_REVIT!$C:$C,$A85,BD_REVIT!$F:$F,R$4)</f>
        <v>0</v>
      </c>
      <c r="S85" s="13" t="n">
        <f aca="false">SUMIFS(BD_REVIT!$H:$H,BD_REVIT!$C:$C,$A85,BD_REVIT!$F:$F,S$4)</f>
        <v>0</v>
      </c>
      <c r="T85" s="13" t="n">
        <f aca="false">SUMIFS(BD_REVIT!$H:$H,BD_REVIT!$C:$C,$A85,BD_REVIT!$F:$F,T$4)</f>
        <v>0</v>
      </c>
      <c r="U85" s="13" t="n">
        <f aca="false">SUMIFS(BD_REVIT!$H:$H,BD_REVIT!$C:$C,$A85,BD_REVIT!$F:$F,U$4)</f>
        <v>0</v>
      </c>
      <c r="V85" s="13" t="n">
        <f aca="false">SUMIFS(BD_REVIT!$H:$H,BD_REVIT!$C:$C,$A85,BD_REVIT!$F:$F,V$4)</f>
        <v>0</v>
      </c>
      <c r="W85" s="13" t="n">
        <f aca="false">SUMIFS(BD_REVIT!$H:$H,BD_REVIT!$C:$C,$A85,BD_REVIT!$F:$F,W$4)</f>
        <v>0</v>
      </c>
      <c r="X85" s="13" t="n">
        <f aca="false">SUMIFS(BD_REVIT!$H:$H,BD_REVIT!$C:$C,$A85,BD_REVIT!$F:$F,X$4)</f>
        <v>0</v>
      </c>
      <c r="Y85" s="13" t="n">
        <f aca="false">SUMIFS(BD_REVIT!$H:$H,BD_REVIT!$C:$C,$A85,BD_REVIT!$F:$F,Y$4)</f>
        <v>0</v>
      </c>
      <c r="Z85" s="52" t="n">
        <f aca="false">SUM(D85:Y85)</f>
        <v>0</v>
      </c>
      <c r="AA85" s="13" t="n">
        <f aca="false">NIVEL!D476</f>
        <v>0</v>
      </c>
      <c r="AB85" s="13" t="n">
        <f aca="false">ROUND(Z85-AA85,2)</f>
        <v>0</v>
      </c>
    </row>
    <row r="86" customFormat="false" ht="15" hidden="false" customHeight="false" outlineLevel="0" collapsed="false">
      <c r="A86" s="10" t="s">
        <v>850</v>
      </c>
      <c r="B86" s="51" t="s">
        <v>851</v>
      </c>
      <c r="C86" s="10" t="s">
        <v>61</v>
      </c>
      <c r="D86" s="13" t="n">
        <f aca="false">SUMIFS(BD_REVIT!$H:$H,BD_REVIT!$C:$C,$A86,BD_REVIT!$F:$F,D$4)</f>
        <v>3</v>
      </c>
      <c r="E86" s="13" t="n">
        <f aca="false">SUMIFS(BD_REVIT!$H:$H,BD_REVIT!$C:$C,$A86,BD_REVIT!$F:$F,E$4)</f>
        <v>0</v>
      </c>
      <c r="F86" s="13" t="n">
        <f aca="false">SUMIFS(BD_REVIT!$H:$H,BD_REVIT!$C:$C,$A86,BD_REVIT!$F:$F,F$4)</f>
        <v>0</v>
      </c>
      <c r="G86" s="13" t="n">
        <f aca="false">SUMIFS(BD_REVIT!$H:$H,BD_REVIT!$C:$C,$A86,BD_REVIT!$F:$F,G$4)</f>
        <v>0</v>
      </c>
      <c r="H86" s="13" t="n">
        <f aca="false">SUMIFS(BD_REVIT!$H:$H,BD_REVIT!$C:$C,$A86,BD_REVIT!$F:$F,H$4)</f>
        <v>0</v>
      </c>
      <c r="I86" s="13" t="n">
        <f aca="false">SUMIFS(BD_REVIT!$H:$H,BD_REVIT!$C:$C,$A86,BD_REVIT!$F:$F,I$4)</f>
        <v>0</v>
      </c>
      <c r="J86" s="13" t="n">
        <f aca="false">SUMIFS(BD_REVIT!$H:$H,BD_REVIT!$C:$C,$A86,BD_REVIT!$F:$F,J$4)</f>
        <v>0</v>
      </c>
      <c r="K86" s="13" t="n">
        <f aca="false">SUMIFS(BD_REVIT!$H:$H,BD_REVIT!$C:$C,$A86,BD_REVIT!$F:$F,K$4)</f>
        <v>0</v>
      </c>
      <c r="L86" s="13" t="n">
        <f aca="false">SUMIFS(BD_REVIT!$H:$H,BD_REVIT!$C:$C,$A86,BD_REVIT!$F:$F,L$4)</f>
        <v>0</v>
      </c>
      <c r="M86" s="13" t="n">
        <f aca="false">SUMIFS(BD_REVIT!$H:$H,BD_REVIT!$C:$C,$A86,BD_REVIT!$F:$F,M$4)</f>
        <v>0</v>
      </c>
      <c r="N86" s="13" t="n">
        <f aca="false">SUMIFS(BD_REVIT!$H:$H,BD_REVIT!$C:$C,$A86,BD_REVIT!$F:$F,N$4)</f>
        <v>0</v>
      </c>
      <c r="O86" s="13" t="n">
        <f aca="false">SUMIFS(BD_REVIT!$H:$H,BD_REVIT!$C:$C,$A86,BD_REVIT!$F:$F,O$4)</f>
        <v>0</v>
      </c>
      <c r="P86" s="13" t="n">
        <f aca="false">SUMIFS(BD_REVIT!$H:$H,BD_REVIT!$C:$C,$A86,BD_REVIT!$F:$F,P$4)</f>
        <v>0</v>
      </c>
      <c r="Q86" s="13" t="n">
        <f aca="false">SUMIFS(BD_REVIT!$H:$H,BD_REVIT!$C:$C,$A86,BD_REVIT!$F:$F,Q$4)</f>
        <v>0</v>
      </c>
      <c r="R86" s="13" t="n">
        <f aca="false">SUMIFS(BD_REVIT!$H:$H,BD_REVIT!$C:$C,$A86,BD_REVIT!$F:$F,R$4)</f>
        <v>0</v>
      </c>
      <c r="S86" s="13" t="n">
        <f aca="false">SUMIFS(BD_REVIT!$H:$H,BD_REVIT!$C:$C,$A86,BD_REVIT!$F:$F,S$4)</f>
        <v>0</v>
      </c>
      <c r="T86" s="13" t="n">
        <f aca="false">SUMIFS(BD_REVIT!$H:$H,BD_REVIT!$C:$C,$A86,BD_REVIT!$F:$F,T$4)</f>
        <v>0</v>
      </c>
      <c r="U86" s="13" t="n">
        <f aca="false">SUMIFS(BD_REVIT!$H:$H,BD_REVIT!$C:$C,$A86,BD_REVIT!$F:$F,U$4)</f>
        <v>0</v>
      </c>
      <c r="V86" s="13" t="n">
        <f aca="false">SUMIFS(BD_REVIT!$H:$H,BD_REVIT!$C:$C,$A86,BD_REVIT!$F:$F,V$4)</f>
        <v>0</v>
      </c>
      <c r="W86" s="13" t="n">
        <f aca="false">SUMIFS(BD_REVIT!$H:$H,BD_REVIT!$C:$C,$A86,BD_REVIT!$F:$F,W$4)</f>
        <v>0</v>
      </c>
      <c r="X86" s="13" t="n">
        <f aca="false">SUMIFS(BD_REVIT!$H:$H,BD_REVIT!$C:$C,$A86,BD_REVIT!$F:$F,X$4)</f>
        <v>0</v>
      </c>
      <c r="Y86" s="13" t="n">
        <f aca="false">SUMIFS(BD_REVIT!$H:$H,BD_REVIT!$C:$C,$A86,BD_REVIT!$F:$F,Y$4)</f>
        <v>0</v>
      </c>
      <c r="Z86" s="52" t="n">
        <f aca="false">SUM(D86:Y86)</f>
        <v>3</v>
      </c>
      <c r="AA86" s="13" t="n">
        <f aca="false">NIVEL!D478</f>
        <v>3</v>
      </c>
      <c r="AB86" s="13" t="n">
        <f aca="false">ROUND(Z86-AA86,2)</f>
        <v>0</v>
      </c>
    </row>
    <row r="87" customFormat="false" ht="15" hidden="false" customHeight="false" outlineLevel="0" collapsed="false">
      <c r="A87" s="10" t="s">
        <v>852</v>
      </c>
      <c r="B87" s="51" t="s">
        <v>853</v>
      </c>
      <c r="C87" s="10" t="s">
        <v>61</v>
      </c>
      <c r="D87" s="13" t="n">
        <f aca="false">SUMIFS(BD_REVIT!$H:$H,BD_REVIT!$C:$C,$A87,BD_REVIT!$F:$F,D$4)</f>
        <v>0</v>
      </c>
      <c r="E87" s="13" t="n">
        <f aca="false">SUMIFS(BD_REVIT!$H:$H,BD_REVIT!$C:$C,$A87,BD_REVIT!$F:$F,E$4)</f>
        <v>0</v>
      </c>
      <c r="F87" s="13" t="n">
        <f aca="false">SUMIFS(BD_REVIT!$H:$H,BD_REVIT!$C:$C,$A87,BD_REVIT!$F:$F,F$4)</f>
        <v>0</v>
      </c>
      <c r="G87" s="13" t="n">
        <f aca="false">SUMIFS(BD_REVIT!$H:$H,BD_REVIT!$C:$C,$A87,BD_REVIT!$F:$F,G$4)</f>
        <v>0</v>
      </c>
      <c r="H87" s="13" t="n">
        <f aca="false">SUMIFS(BD_REVIT!$H:$H,BD_REVIT!$C:$C,$A87,BD_REVIT!$F:$F,H$4)</f>
        <v>0</v>
      </c>
      <c r="I87" s="13" t="n">
        <f aca="false">SUMIFS(BD_REVIT!$H:$H,BD_REVIT!$C:$C,$A87,BD_REVIT!$F:$F,I$4)</f>
        <v>0</v>
      </c>
      <c r="J87" s="13" t="n">
        <f aca="false">SUMIFS(BD_REVIT!$H:$H,BD_REVIT!$C:$C,$A87,BD_REVIT!$F:$F,J$4)</f>
        <v>0</v>
      </c>
      <c r="K87" s="13" t="n">
        <f aca="false">SUMIFS(BD_REVIT!$H:$H,BD_REVIT!$C:$C,$A87,BD_REVIT!$F:$F,K$4)</f>
        <v>0</v>
      </c>
      <c r="L87" s="13" t="n">
        <f aca="false">SUMIFS(BD_REVIT!$H:$H,BD_REVIT!$C:$C,$A87,BD_REVIT!$F:$F,L$4)</f>
        <v>0</v>
      </c>
      <c r="M87" s="13" t="n">
        <f aca="false">SUMIFS(BD_REVIT!$H:$H,BD_REVIT!$C:$C,$A87,BD_REVIT!$F:$F,M$4)</f>
        <v>0</v>
      </c>
      <c r="N87" s="13" t="n">
        <f aca="false">SUMIFS(BD_REVIT!$H:$H,BD_REVIT!$C:$C,$A87,BD_REVIT!$F:$F,N$4)</f>
        <v>0</v>
      </c>
      <c r="O87" s="13" t="n">
        <f aca="false">SUMIFS(BD_REVIT!$H:$H,BD_REVIT!$C:$C,$A87,BD_REVIT!$F:$F,O$4)</f>
        <v>0</v>
      </c>
      <c r="P87" s="13" t="n">
        <f aca="false">SUMIFS(BD_REVIT!$H:$H,BD_REVIT!$C:$C,$A87,BD_REVIT!$F:$F,P$4)</f>
        <v>0</v>
      </c>
      <c r="Q87" s="13" t="n">
        <f aca="false">SUMIFS(BD_REVIT!$H:$H,BD_REVIT!$C:$C,$A87,BD_REVIT!$F:$F,Q$4)</f>
        <v>0</v>
      </c>
      <c r="R87" s="13" t="n">
        <f aca="false">SUMIFS(BD_REVIT!$H:$H,BD_REVIT!$C:$C,$A87,BD_REVIT!$F:$F,R$4)</f>
        <v>0</v>
      </c>
      <c r="S87" s="13" t="n">
        <f aca="false">SUMIFS(BD_REVIT!$H:$H,BD_REVIT!$C:$C,$A87,BD_REVIT!$F:$F,S$4)</f>
        <v>0</v>
      </c>
      <c r="T87" s="13" t="n">
        <f aca="false">SUMIFS(BD_REVIT!$H:$H,BD_REVIT!$C:$C,$A87,BD_REVIT!$F:$F,T$4)</f>
        <v>0</v>
      </c>
      <c r="U87" s="13" t="n">
        <f aca="false">SUMIFS(BD_REVIT!$H:$H,BD_REVIT!$C:$C,$A87,BD_REVIT!$F:$F,U$4)</f>
        <v>0</v>
      </c>
      <c r="V87" s="13" t="n">
        <f aca="false">SUMIFS(BD_REVIT!$H:$H,BD_REVIT!$C:$C,$A87,BD_REVIT!$F:$F,V$4)</f>
        <v>2</v>
      </c>
      <c r="W87" s="13" t="n">
        <f aca="false">SUMIFS(BD_REVIT!$H:$H,BD_REVIT!$C:$C,$A87,BD_REVIT!$F:$F,W$4)</f>
        <v>4</v>
      </c>
      <c r="X87" s="13" t="n">
        <f aca="false">SUMIFS(BD_REVIT!$H:$H,BD_REVIT!$C:$C,$A87,BD_REVIT!$F:$F,X$4)</f>
        <v>0</v>
      </c>
      <c r="Y87" s="13" t="n">
        <f aca="false">SUMIFS(BD_REVIT!$H:$H,BD_REVIT!$C:$C,$A87,BD_REVIT!$F:$F,Y$4)</f>
        <v>0</v>
      </c>
      <c r="Z87" s="52" t="n">
        <f aca="false">SUM(D87:Y87)</f>
        <v>6</v>
      </c>
      <c r="AA87" s="13" t="n">
        <f aca="false">NIVEL!D479</f>
        <v>6</v>
      </c>
      <c r="AB87" s="13" t="n">
        <f aca="false">ROUND(Z87-AA87,2)</f>
        <v>0</v>
      </c>
    </row>
    <row r="88" customFormat="false" ht="15" hidden="false" customHeight="false" outlineLevel="0" collapsed="false">
      <c r="A88" s="10" t="s">
        <v>854</v>
      </c>
      <c r="B88" s="51" t="s">
        <v>855</v>
      </c>
      <c r="C88" s="10" t="s">
        <v>61</v>
      </c>
      <c r="D88" s="13" t="n">
        <f aca="false">SUMIFS(BD_REVIT!$H:$H,BD_REVIT!$C:$C,$A88,BD_REVIT!$F:$F,D$4)</f>
        <v>0</v>
      </c>
      <c r="E88" s="13" t="n">
        <f aca="false">SUMIFS(BD_REVIT!$H:$H,BD_REVIT!$C:$C,$A88,BD_REVIT!$F:$F,E$4)</f>
        <v>0</v>
      </c>
      <c r="F88" s="13" t="n">
        <f aca="false">SUMIFS(BD_REVIT!$H:$H,BD_REVIT!$C:$C,$A88,BD_REVIT!$F:$F,F$4)</f>
        <v>0</v>
      </c>
      <c r="G88" s="13" t="n">
        <f aca="false">SUMIFS(BD_REVIT!$H:$H,BD_REVIT!$C:$C,$A88,BD_REVIT!$F:$F,G$4)</f>
        <v>0</v>
      </c>
      <c r="H88" s="13" t="n">
        <f aca="false">SUMIFS(BD_REVIT!$H:$H,BD_REVIT!$C:$C,$A88,BD_REVIT!$F:$F,H$4)</f>
        <v>0</v>
      </c>
      <c r="I88" s="13" t="n">
        <f aca="false">SUMIFS(BD_REVIT!$H:$H,BD_REVIT!$C:$C,$A88,BD_REVIT!$F:$F,I$4)</f>
        <v>0</v>
      </c>
      <c r="J88" s="13" t="n">
        <f aca="false">SUMIFS(BD_REVIT!$H:$H,BD_REVIT!$C:$C,$A88,BD_REVIT!$F:$F,J$4)</f>
        <v>0</v>
      </c>
      <c r="K88" s="13" t="n">
        <f aca="false">SUMIFS(BD_REVIT!$H:$H,BD_REVIT!$C:$C,$A88,BD_REVIT!$F:$F,K$4)</f>
        <v>0</v>
      </c>
      <c r="L88" s="13" t="n">
        <f aca="false">SUMIFS(BD_REVIT!$H:$H,BD_REVIT!$C:$C,$A88,BD_REVIT!$F:$F,L$4)</f>
        <v>0</v>
      </c>
      <c r="M88" s="13" t="n">
        <f aca="false">SUMIFS(BD_REVIT!$H:$H,BD_REVIT!$C:$C,$A88,BD_REVIT!$F:$F,M$4)</f>
        <v>0</v>
      </c>
      <c r="N88" s="13" t="n">
        <f aca="false">SUMIFS(BD_REVIT!$H:$H,BD_REVIT!$C:$C,$A88,BD_REVIT!$F:$F,N$4)</f>
        <v>0</v>
      </c>
      <c r="O88" s="13" t="n">
        <f aca="false">SUMIFS(BD_REVIT!$H:$H,BD_REVIT!$C:$C,$A88,BD_REVIT!$F:$F,O$4)</f>
        <v>0</v>
      </c>
      <c r="P88" s="13" t="n">
        <f aca="false">SUMIFS(BD_REVIT!$H:$H,BD_REVIT!$C:$C,$A88,BD_REVIT!$F:$F,P$4)</f>
        <v>0</v>
      </c>
      <c r="Q88" s="13" t="n">
        <f aca="false">SUMIFS(BD_REVIT!$H:$H,BD_REVIT!$C:$C,$A88,BD_REVIT!$F:$F,Q$4)</f>
        <v>0</v>
      </c>
      <c r="R88" s="13" t="n">
        <f aca="false">SUMIFS(BD_REVIT!$H:$H,BD_REVIT!$C:$C,$A88,BD_REVIT!$F:$F,R$4)</f>
        <v>0</v>
      </c>
      <c r="S88" s="13" t="n">
        <f aca="false">SUMIFS(BD_REVIT!$H:$H,BD_REVIT!$C:$C,$A88,BD_REVIT!$F:$F,S$4)</f>
        <v>0</v>
      </c>
      <c r="T88" s="13" t="n">
        <f aca="false">SUMIFS(BD_REVIT!$H:$H,BD_REVIT!$C:$C,$A88,BD_REVIT!$F:$F,T$4)</f>
        <v>0</v>
      </c>
      <c r="U88" s="13" t="n">
        <f aca="false">SUMIFS(BD_REVIT!$H:$H,BD_REVIT!$C:$C,$A88,BD_REVIT!$F:$F,U$4)</f>
        <v>0</v>
      </c>
      <c r="V88" s="13" t="n">
        <f aca="false">SUMIFS(BD_REVIT!$H:$H,BD_REVIT!$C:$C,$A88,BD_REVIT!$F:$F,V$4)</f>
        <v>0</v>
      </c>
      <c r="W88" s="13" t="n">
        <f aca="false">SUMIFS(BD_REVIT!$H:$H,BD_REVIT!$C:$C,$A88,BD_REVIT!$F:$F,W$4)</f>
        <v>0</v>
      </c>
      <c r="X88" s="13" t="n">
        <f aca="false">SUMIFS(BD_REVIT!$H:$H,BD_REVIT!$C:$C,$A88,BD_REVIT!$F:$F,X$4)</f>
        <v>0</v>
      </c>
      <c r="Y88" s="13" t="n">
        <f aca="false">SUMIFS(BD_REVIT!$H:$H,BD_REVIT!$C:$C,$A88,BD_REVIT!$F:$F,Y$4)</f>
        <v>0</v>
      </c>
      <c r="Z88" s="52" t="n">
        <f aca="false">SUM(D88:Y88)</f>
        <v>0</v>
      </c>
      <c r="AA88" s="13" t="n">
        <f aca="false">NIVEL!D480</f>
        <v>0</v>
      </c>
      <c r="AB88" s="13" t="n">
        <f aca="false">ROUND(Z88-AA88,2)</f>
        <v>0</v>
      </c>
    </row>
    <row r="89" customFormat="false" ht="15" hidden="false" customHeight="false" outlineLevel="0" collapsed="false">
      <c r="A89" s="10" t="s">
        <v>856</v>
      </c>
      <c r="B89" s="51" t="s">
        <v>857</v>
      </c>
      <c r="C89" s="10" t="s">
        <v>61</v>
      </c>
      <c r="D89" s="13" t="n">
        <f aca="false">SUMIFS(BD_REVIT!$H:$H,BD_REVIT!$C:$C,$A89,BD_REVIT!$F:$F,D$4)</f>
        <v>0</v>
      </c>
      <c r="E89" s="13" t="n">
        <f aca="false">SUMIFS(BD_REVIT!$H:$H,BD_REVIT!$C:$C,$A89,BD_REVIT!$F:$F,E$4)</f>
        <v>0</v>
      </c>
      <c r="F89" s="13" t="n">
        <f aca="false">SUMIFS(BD_REVIT!$H:$H,BD_REVIT!$C:$C,$A89,BD_REVIT!$F:$F,F$4)</f>
        <v>0</v>
      </c>
      <c r="G89" s="13" t="n">
        <f aca="false">SUMIFS(BD_REVIT!$H:$H,BD_REVIT!$C:$C,$A89,BD_REVIT!$F:$F,G$4)</f>
        <v>0</v>
      </c>
      <c r="H89" s="13" t="n">
        <f aca="false">SUMIFS(BD_REVIT!$H:$H,BD_REVIT!$C:$C,$A89,BD_REVIT!$F:$F,H$4)</f>
        <v>0</v>
      </c>
      <c r="I89" s="13" t="n">
        <f aca="false">SUMIFS(BD_REVIT!$H:$H,BD_REVIT!$C:$C,$A89,BD_REVIT!$F:$F,I$4)</f>
        <v>0</v>
      </c>
      <c r="J89" s="13" t="n">
        <f aca="false">SUMIFS(BD_REVIT!$H:$H,BD_REVIT!$C:$C,$A89,BD_REVIT!$F:$F,J$4)</f>
        <v>0</v>
      </c>
      <c r="K89" s="13" t="n">
        <f aca="false">SUMIFS(BD_REVIT!$H:$H,BD_REVIT!$C:$C,$A89,BD_REVIT!$F:$F,K$4)</f>
        <v>0</v>
      </c>
      <c r="L89" s="13" t="n">
        <f aca="false">SUMIFS(BD_REVIT!$H:$H,BD_REVIT!$C:$C,$A89,BD_REVIT!$F:$F,L$4)</f>
        <v>0</v>
      </c>
      <c r="M89" s="13" t="n">
        <f aca="false">SUMIFS(BD_REVIT!$H:$H,BD_REVIT!$C:$C,$A89,BD_REVIT!$F:$F,M$4)</f>
        <v>0</v>
      </c>
      <c r="N89" s="13" t="n">
        <f aca="false">SUMIFS(BD_REVIT!$H:$H,BD_REVIT!$C:$C,$A89,BD_REVIT!$F:$F,N$4)</f>
        <v>0</v>
      </c>
      <c r="O89" s="13" t="n">
        <f aca="false">SUMIFS(BD_REVIT!$H:$H,BD_REVIT!$C:$C,$A89,BD_REVIT!$F:$F,O$4)</f>
        <v>0</v>
      </c>
      <c r="P89" s="13" t="n">
        <f aca="false">SUMIFS(BD_REVIT!$H:$H,BD_REVIT!$C:$C,$A89,BD_REVIT!$F:$F,P$4)</f>
        <v>0</v>
      </c>
      <c r="Q89" s="13" t="n">
        <f aca="false">SUMIFS(BD_REVIT!$H:$H,BD_REVIT!$C:$C,$A89,BD_REVIT!$F:$F,Q$4)</f>
        <v>0</v>
      </c>
      <c r="R89" s="13" t="n">
        <f aca="false">SUMIFS(BD_REVIT!$H:$H,BD_REVIT!$C:$C,$A89,BD_REVIT!$F:$F,R$4)</f>
        <v>0</v>
      </c>
      <c r="S89" s="13" t="n">
        <f aca="false">SUMIFS(BD_REVIT!$H:$H,BD_REVIT!$C:$C,$A89,BD_REVIT!$F:$F,S$4)</f>
        <v>0</v>
      </c>
      <c r="T89" s="13" t="n">
        <f aca="false">SUMIFS(BD_REVIT!$H:$H,BD_REVIT!$C:$C,$A89,BD_REVIT!$F:$F,T$4)</f>
        <v>0</v>
      </c>
      <c r="U89" s="13" t="n">
        <f aca="false">SUMIFS(BD_REVIT!$H:$H,BD_REVIT!$C:$C,$A89,BD_REVIT!$F:$F,U$4)</f>
        <v>0</v>
      </c>
      <c r="V89" s="13" t="n">
        <f aca="false">SUMIFS(BD_REVIT!$H:$H,BD_REVIT!$C:$C,$A89,BD_REVIT!$F:$F,V$4)</f>
        <v>0</v>
      </c>
      <c r="W89" s="13" t="n">
        <f aca="false">SUMIFS(BD_REVIT!$H:$H,BD_REVIT!$C:$C,$A89,BD_REVIT!$F:$F,W$4)</f>
        <v>0</v>
      </c>
      <c r="X89" s="13" t="n">
        <f aca="false">SUMIFS(BD_REVIT!$H:$H,BD_REVIT!$C:$C,$A89,BD_REVIT!$F:$F,X$4)</f>
        <v>0</v>
      </c>
      <c r="Y89" s="13" t="n">
        <f aca="false">SUMIFS(BD_REVIT!$H:$H,BD_REVIT!$C:$C,$A89,BD_REVIT!$F:$F,Y$4)</f>
        <v>0</v>
      </c>
      <c r="Z89" s="52" t="n">
        <f aca="false">SUM(D89:Y89)</f>
        <v>0</v>
      </c>
      <c r="AA89" s="13" t="n">
        <f aca="false">NIVEL!D481</f>
        <v>0</v>
      </c>
      <c r="AB89" s="13" t="n">
        <f aca="false">ROUND(Z89-AA89,2)</f>
        <v>0</v>
      </c>
    </row>
    <row r="90" customFormat="false" ht="15" hidden="false" customHeight="false" outlineLevel="0" collapsed="false">
      <c r="A90" s="10" t="s">
        <v>858</v>
      </c>
      <c r="B90" s="51" t="s">
        <v>859</v>
      </c>
      <c r="C90" s="10" t="s">
        <v>61</v>
      </c>
      <c r="D90" s="13" t="n">
        <f aca="false">SUMIFS(BD_REVIT!$H:$H,BD_REVIT!$C:$C,$A90,BD_REVIT!$F:$F,D$4)</f>
        <v>0</v>
      </c>
      <c r="E90" s="13" t="n">
        <f aca="false">SUMIFS(BD_REVIT!$H:$H,BD_REVIT!$C:$C,$A90,BD_REVIT!$F:$F,E$4)</f>
        <v>0</v>
      </c>
      <c r="F90" s="13" t="n">
        <f aca="false">SUMIFS(BD_REVIT!$H:$H,BD_REVIT!$C:$C,$A90,BD_REVIT!$F:$F,F$4)</f>
        <v>0</v>
      </c>
      <c r="G90" s="13" t="n">
        <f aca="false">SUMIFS(BD_REVIT!$H:$H,BD_REVIT!$C:$C,$A90,BD_REVIT!$F:$F,G$4)</f>
        <v>0</v>
      </c>
      <c r="H90" s="13" t="n">
        <f aca="false">SUMIFS(BD_REVIT!$H:$H,BD_REVIT!$C:$C,$A90,BD_REVIT!$F:$F,H$4)</f>
        <v>0</v>
      </c>
      <c r="I90" s="13" t="n">
        <f aca="false">SUMIFS(BD_REVIT!$H:$H,BD_REVIT!$C:$C,$A90,BD_REVIT!$F:$F,I$4)</f>
        <v>0</v>
      </c>
      <c r="J90" s="13" t="n">
        <f aca="false">SUMIFS(BD_REVIT!$H:$H,BD_REVIT!$C:$C,$A90,BD_REVIT!$F:$F,J$4)</f>
        <v>0</v>
      </c>
      <c r="K90" s="13" t="n">
        <f aca="false">SUMIFS(BD_REVIT!$H:$H,BD_REVIT!$C:$C,$A90,BD_REVIT!$F:$F,K$4)</f>
        <v>0</v>
      </c>
      <c r="L90" s="13" t="n">
        <f aca="false">SUMIFS(BD_REVIT!$H:$H,BD_REVIT!$C:$C,$A90,BD_REVIT!$F:$F,L$4)</f>
        <v>0</v>
      </c>
      <c r="M90" s="13" t="n">
        <f aca="false">SUMIFS(BD_REVIT!$H:$H,BD_REVIT!$C:$C,$A90,BD_REVIT!$F:$F,M$4)</f>
        <v>0</v>
      </c>
      <c r="N90" s="13" t="n">
        <f aca="false">SUMIFS(BD_REVIT!$H:$H,BD_REVIT!$C:$C,$A90,BD_REVIT!$F:$F,N$4)</f>
        <v>0</v>
      </c>
      <c r="O90" s="13" t="n">
        <f aca="false">SUMIFS(BD_REVIT!$H:$H,BD_REVIT!$C:$C,$A90,BD_REVIT!$F:$F,O$4)</f>
        <v>0</v>
      </c>
      <c r="P90" s="13" t="n">
        <f aca="false">SUMIFS(BD_REVIT!$H:$H,BD_REVIT!$C:$C,$A90,BD_REVIT!$F:$F,P$4)</f>
        <v>0</v>
      </c>
      <c r="Q90" s="13" t="n">
        <f aca="false">SUMIFS(BD_REVIT!$H:$H,BD_REVIT!$C:$C,$A90,BD_REVIT!$F:$F,Q$4)</f>
        <v>0</v>
      </c>
      <c r="R90" s="13" t="n">
        <f aca="false">SUMIFS(BD_REVIT!$H:$H,BD_REVIT!$C:$C,$A90,BD_REVIT!$F:$F,R$4)</f>
        <v>0</v>
      </c>
      <c r="S90" s="13" t="n">
        <f aca="false">SUMIFS(BD_REVIT!$H:$H,BD_REVIT!$C:$C,$A90,BD_REVIT!$F:$F,S$4)</f>
        <v>0</v>
      </c>
      <c r="T90" s="13" t="n">
        <f aca="false">SUMIFS(BD_REVIT!$H:$H,BD_REVIT!$C:$C,$A90,BD_REVIT!$F:$F,T$4)</f>
        <v>0</v>
      </c>
      <c r="U90" s="13" t="n">
        <f aca="false">SUMIFS(BD_REVIT!$H:$H,BD_REVIT!$C:$C,$A90,BD_REVIT!$F:$F,U$4)</f>
        <v>0</v>
      </c>
      <c r="V90" s="13" t="n">
        <f aca="false">SUMIFS(BD_REVIT!$H:$H,BD_REVIT!$C:$C,$A90,BD_REVIT!$F:$F,V$4)</f>
        <v>0</v>
      </c>
      <c r="W90" s="13" t="n">
        <f aca="false">SUMIFS(BD_REVIT!$H:$H,BD_REVIT!$C:$C,$A90,BD_REVIT!$F:$F,W$4)</f>
        <v>0</v>
      </c>
      <c r="X90" s="13" t="n">
        <f aca="false">SUMIFS(BD_REVIT!$H:$H,BD_REVIT!$C:$C,$A90,BD_REVIT!$F:$F,X$4)</f>
        <v>0</v>
      </c>
      <c r="Y90" s="13" t="n">
        <f aca="false">SUMIFS(BD_REVIT!$H:$H,BD_REVIT!$C:$C,$A90,BD_REVIT!$F:$F,Y$4)</f>
        <v>0</v>
      </c>
      <c r="Z90" s="52" t="n">
        <f aca="false">SUM(D90:Y90)</f>
        <v>0</v>
      </c>
      <c r="AA90" s="13" t="n">
        <f aca="false">NIVEL!D482</f>
        <v>0</v>
      </c>
      <c r="AB90" s="13" t="n">
        <f aca="false">ROUND(Z90-AA90,2)</f>
        <v>0</v>
      </c>
    </row>
    <row r="91" customFormat="false" ht="15" hidden="false" customHeight="false" outlineLevel="0" collapsed="false">
      <c r="A91" s="10" t="s">
        <v>860</v>
      </c>
      <c r="B91" s="51" t="s">
        <v>861</v>
      </c>
      <c r="C91" s="10" t="s">
        <v>61</v>
      </c>
      <c r="D91" s="13" t="n">
        <f aca="false">SUMIFS(BD_REVIT!$H:$H,BD_REVIT!$C:$C,$A91,BD_REVIT!$F:$F,D$4)</f>
        <v>0</v>
      </c>
      <c r="E91" s="13" t="n">
        <f aca="false">SUMIFS(BD_REVIT!$H:$H,BD_REVIT!$C:$C,$A91,BD_REVIT!$F:$F,E$4)</f>
        <v>0</v>
      </c>
      <c r="F91" s="13" t="n">
        <f aca="false">SUMIFS(BD_REVIT!$H:$H,BD_REVIT!$C:$C,$A91,BD_REVIT!$F:$F,F$4)</f>
        <v>0</v>
      </c>
      <c r="G91" s="13" t="n">
        <f aca="false">SUMIFS(BD_REVIT!$H:$H,BD_REVIT!$C:$C,$A91,BD_REVIT!$F:$F,G$4)</f>
        <v>0</v>
      </c>
      <c r="H91" s="13" t="n">
        <f aca="false">SUMIFS(BD_REVIT!$H:$H,BD_REVIT!$C:$C,$A91,BD_REVIT!$F:$F,H$4)</f>
        <v>0</v>
      </c>
      <c r="I91" s="13" t="n">
        <f aca="false">SUMIFS(BD_REVIT!$H:$H,BD_REVIT!$C:$C,$A91,BD_REVIT!$F:$F,I$4)</f>
        <v>0</v>
      </c>
      <c r="J91" s="13" t="n">
        <f aca="false">SUMIFS(BD_REVIT!$H:$H,BD_REVIT!$C:$C,$A91,BD_REVIT!$F:$F,J$4)</f>
        <v>0</v>
      </c>
      <c r="K91" s="13" t="n">
        <f aca="false">SUMIFS(BD_REVIT!$H:$H,BD_REVIT!$C:$C,$A91,BD_REVIT!$F:$F,K$4)</f>
        <v>0</v>
      </c>
      <c r="L91" s="13" t="n">
        <f aca="false">SUMIFS(BD_REVIT!$H:$H,BD_REVIT!$C:$C,$A91,BD_REVIT!$F:$F,L$4)</f>
        <v>0</v>
      </c>
      <c r="M91" s="13" t="n">
        <f aca="false">SUMIFS(BD_REVIT!$H:$H,BD_REVIT!$C:$C,$A91,BD_REVIT!$F:$F,M$4)</f>
        <v>0</v>
      </c>
      <c r="N91" s="13" t="n">
        <f aca="false">SUMIFS(BD_REVIT!$H:$H,BD_REVIT!$C:$C,$A91,BD_REVIT!$F:$F,N$4)</f>
        <v>0</v>
      </c>
      <c r="O91" s="13" t="n">
        <f aca="false">SUMIFS(BD_REVIT!$H:$H,BD_REVIT!$C:$C,$A91,BD_REVIT!$F:$F,O$4)</f>
        <v>0</v>
      </c>
      <c r="P91" s="13" t="n">
        <f aca="false">SUMIFS(BD_REVIT!$H:$H,BD_REVIT!$C:$C,$A91,BD_REVIT!$F:$F,P$4)</f>
        <v>0</v>
      </c>
      <c r="Q91" s="13" t="n">
        <f aca="false">SUMIFS(BD_REVIT!$H:$H,BD_REVIT!$C:$C,$A91,BD_REVIT!$F:$F,Q$4)</f>
        <v>0</v>
      </c>
      <c r="R91" s="13" t="n">
        <f aca="false">SUMIFS(BD_REVIT!$H:$H,BD_REVIT!$C:$C,$A91,BD_REVIT!$F:$F,R$4)</f>
        <v>0</v>
      </c>
      <c r="S91" s="13" t="n">
        <f aca="false">SUMIFS(BD_REVIT!$H:$H,BD_REVIT!$C:$C,$A91,BD_REVIT!$F:$F,S$4)</f>
        <v>0</v>
      </c>
      <c r="T91" s="13" t="n">
        <f aca="false">SUMIFS(BD_REVIT!$H:$H,BD_REVIT!$C:$C,$A91,BD_REVIT!$F:$F,T$4)</f>
        <v>0</v>
      </c>
      <c r="U91" s="13" t="n">
        <f aca="false">SUMIFS(BD_REVIT!$H:$H,BD_REVIT!$C:$C,$A91,BD_REVIT!$F:$F,U$4)</f>
        <v>0</v>
      </c>
      <c r="V91" s="13" t="n">
        <f aca="false">SUMIFS(BD_REVIT!$H:$H,BD_REVIT!$C:$C,$A91,BD_REVIT!$F:$F,V$4)</f>
        <v>0</v>
      </c>
      <c r="W91" s="13" t="n">
        <f aca="false">SUMIFS(BD_REVIT!$H:$H,BD_REVIT!$C:$C,$A91,BD_REVIT!$F:$F,W$4)</f>
        <v>0</v>
      </c>
      <c r="X91" s="13" t="n">
        <f aca="false">SUMIFS(BD_REVIT!$H:$H,BD_REVIT!$C:$C,$A91,BD_REVIT!$F:$F,X$4)</f>
        <v>0</v>
      </c>
      <c r="Y91" s="13" t="n">
        <f aca="false">SUMIFS(BD_REVIT!$H:$H,BD_REVIT!$C:$C,$A91,BD_REVIT!$F:$F,Y$4)</f>
        <v>0</v>
      </c>
      <c r="Z91" s="52" t="n">
        <f aca="false">SUM(D91:Y91)</f>
        <v>0</v>
      </c>
      <c r="AA91" s="13" t="n">
        <f aca="false">NIVEL!D483</f>
        <v>0</v>
      </c>
      <c r="AB91" s="13" t="n">
        <f aca="false">ROUND(Z91-AA91,2)</f>
        <v>0</v>
      </c>
    </row>
    <row r="92" customFormat="false" ht="15" hidden="false" customHeight="false" outlineLevel="0" collapsed="false">
      <c r="A92" s="10" t="s">
        <v>862</v>
      </c>
      <c r="B92" s="51" t="s">
        <v>863</v>
      </c>
      <c r="C92" s="10" t="s">
        <v>61</v>
      </c>
      <c r="D92" s="13" t="n">
        <f aca="false">SUMIFS(BD_REVIT!$H:$H,BD_REVIT!$C:$C,$A92,BD_REVIT!$F:$F,D$4)</f>
        <v>0</v>
      </c>
      <c r="E92" s="13" t="n">
        <f aca="false">SUMIFS(BD_REVIT!$H:$H,BD_REVIT!$C:$C,$A92,BD_REVIT!$F:$F,E$4)</f>
        <v>0</v>
      </c>
      <c r="F92" s="13" t="n">
        <f aca="false">SUMIFS(BD_REVIT!$H:$H,BD_REVIT!$C:$C,$A92,BD_REVIT!$F:$F,F$4)</f>
        <v>0</v>
      </c>
      <c r="G92" s="13" t="n">
        <f aca="false">SUMIFS(BD_REVIT!$H:$H,BD_REVIT!$C:$C,$A92,BD_REVIT!$F:$F,G$4)</f>
        <v>0</v>
      </c>
      <c r="H92" s="13" t="n">
        <f aca="false">SUMIFS(BD_REVIT!$H:$H,BD_REVIT!$C:$C,$A92,BD_REVIT!$F:$F,H$4)</f>
        <v>0</v>
      </c>
      <c r="I92" s="13" t="n">
        <f aca="false">SUMIFS(BD_REVIT!$H:$H,BD_REVIT!$C:$C,$A92,BD_REVIT!$F:$F,I$4)</f>
        <v>0</v>
      </c>
      <c r="J92" s="13" t="n">
        <f aca="false">SUMIFS(BD_REVIT!$H:$H,BD_REVIT!$C:$C,$A92,BD_REVIT!$F:$F,J$4)</f>
        <v>0</v>
      </c>
      <c r="K92" s="13" t="n">
        <f aca="false">SUMIFS(BD_REVIT!$H:$H,BD_REVIT!$C:$C,$A92,BD_REVIT!$F:$F,K$4)</f>
        <v>0</v>
      </c>
      <c r="L92" s="13" t="n">
        <f aca="false">SUMIFS(BD_REVIT!$H:$H,BD_REVIT!$C:$C,$A92,BD_REVIT!$F:$F,L$4)</f>
        <v>0</v>
      </c>
      <c r="M92" s="13" t="n">
        <f aca="false">SUMIFS(BD_REVIT!$H:$H,BD_REVIT!$C:$C,$A92,BD_REVIT!$F:$F,M$4)</f>
        <v>0</v>
      </c>
      <c r="N92" s="13" t="n">
        <f aca="false">SUMIFS(BD_REVIT!$H:$H,BD_REVIT!$C:$C,$A92,BD_REVIT!$F:$F,N$4)</f>
        <v>0</v>
      </c>
      <c r="O92" s="13" t="n">
        <f aca="false">SUMIFS(BD_REVIT!$H:$H,BD_REVIT!$C:$C,$A92,BD_REVIT!$F:$F,O$4)</f>
        <v>0</v>
      </c>
      <c r="P92" s="13" t="n">
        <f aca="false">SUMIFS(BD_REVIT!$H:$H,BD_REVIT!$C:$C,$A92,BD_REVIT!$F:$F,P$4)</f>
        <v>0</v>
      </c>
      <c r="Q92" s="13" t="n">
        <f aca="false">SUMIFS(BD_REVIT!$H:$H,BD_REVIT!$C:$C,$A92,BD_REVIT!$F:$F,Q$4)</f>
        <v>0</v>
      </c>
      <c r="R92" s="13" t="n">
        <f aca="false">SUMIFS(BD_REVIT!$H:$H,BD_REVIT!$C:$C,$A92,BD_REVIT!$F:$F,R$4)</f>
        <v>0</v>
      </c>
      <c r="S92" s="13" t="n">
        <f aca="false">SUMIFS(BD_REVIT!$H:$H,BD_REVIT!$C:$C,$A92,BD_REVIT!$F:$F,S$4)</f>
        <v>0</v>
      </c>
      <c r="T92" s="13" t="n">
        <f aca="false">SUMIFS(BD_REVIT!$H:$H,BD_REVIT!$C:$C,$A92,BD_REVIT!$F:$F,T$4)</f>
        <v>0</v>
      </c>
      <c r="U92" s="13" t="n">
        <f aca="false">SUMIFS(BD_REVIT!$H:$H,BD_REVIT!$C:$C,$A92,BD_REVIT!$F:$F,U$4)</f>
        <v>0</v>
      </c>
      <c r="V92" s="13" t="n">
        <f aca="false">SUMIFS(BD_REVIT!$H:$H,BD_REVIT!$C:$C,$A92,BD_REVIT!$F:$F,V$4)</f>
        <v>0</v>
      </c>
      <c r="W92" s="13" t="n">
        <f aca="false">SUMIFS(BD_REVIT!$H:$H,BD_REVIT!$C:$C,$A92,BD_REVIT!$F:$F,W$4)</f>
        <v>0</v>
      </c>
      <c r="X92" s="13" t="n">
        <f aca="false">SUMIFS(BD_REVIT!$H:$H,BD_REVIT!$C:$C,$A92,BD_REVIT!$F:$F,X$4)</f>
        <v>0</v>
      </c>
      <c r="Y92" s="13" t="n">
        <f aca="false">SUMIFS(BD_REVIT!$H:$H,BD_REVIT!$C:$C,$A92,BD_REVIT!$F:$F,Y$4)</f>
        <v>0</v>
      </c>
      <c r="Z92" s="52" t="n">
        <f aca="false">SUM(D92:Y92)</f>
        <v>0</v>
      </c>
      <c r="AA92" s="13" t="n">
        <f aca="false">NIVEL!D484</f>
        <v>0</v>
      </c>
      <c r="AB92" s="13" t="n">
        <f aca="false">ROUND(Z92-AA92,2)</f>
        <v>0</v>
      </c>
    </row>
    <row r="93" customFormat="false" ht="15" hidden="false" customHeight="false" outlineLevel="0" collapsed="false">
      <c r="A93" s="10" t="s">
        <v>864</v>
      </c>
      <c r="B93" s="51" t="s">
        <v>865</v>
      </c>
      <c r="C93" s="10" t="s">
        <v>61</v>
      </c>
      <c r="D93" s="13" t="n">
        <f aca="false">SUMIFS(BD_REVIT!$H:$H,BD_REVIT!$C:$C,$A93,BD_REVIT!$F:$F,D$4)</f>
        <v>0</v>
      </c>
      <c r="E93" s="13" t="n">
        <f aca="false">SUMIFS(BD_REVIT!$H:$H,BD_REVIT!$C:$C,$A93,BD_REVIT!$F:$F,E$4)</f>
        <v>0</v>
      </c>
      <c r="F93" s="13" t="n">
        <f aca="false">SUMIFS(BD_REVIT!$H:$H,BD_REVIT!$C:$C,$A93,BD_REVIT!$F:$F,F$4)</f>
        <v>0</v>
      </c>
      <c r="G93" s="13" t="n">
        <f aca="false">SUMIFS(BD_REVIT!$H:$H,BD_REVIT!$C:$C,$A93,BD_REVIT!$F:$F,G$4)</f>
        <v>0</v>
      </c>
      <c r="H93" s="13" t="n">
        <f aca="false">SUMIFS(BD_REVIT!$H:$H,BD_REVIT!$C:$C,$A93,BD_REVIT!$F:$F,H$4)</f>
        <v>0</v>
      </c>
      <c r="I93" s="13" t="n">
        <f aca="false">SUMIFS(BD_REVIT!$H:$H,BD_REVIT!$C:$C,$A93,BD_REVIT!$F:$F,I$4)</f>
        <v>0</v>
      </c>
      <c r="J93" s="13" t="n">
        <f aca="false">SUMIFS(BD_REVIT!$H:$H,BD_REVIT!$C:$C,$A93,BD_REVIT!$F:$F,J$4)</f>
        <v>0</v>
      </c>
      <c r="K93" s="13" t="n">
        <f aca="false">SUMIFS(BD_REVIT!$H:$H,BD_REVIT!$C:$C,$A93,BD_REVIT!$F:$F,K$4)</f>
        <v>0</v>
      </c>
      <c r="L93" s="13" t="n">
        <f aca="false">SUMIFS(BD_REVIT!$H:$H,BD_REVIT!$C:$C,$A93,BD_REVIT!$F:$F,L$4)</f>
        <v>0</v>
      </c>
      <c r="M93" s="13" t="n">
        <f aca="false">SUMIFS(BD_REVIT!$H:$H,BD_REVIT!$C:$C,$A93,BD_REVIT!$F:$F,M$4)</f>
        <v>0</v>
      </c>
      <c r="N93" s="13" t="n">
        <f aca="false">SUMIFS(BD_REVIT!$H:$H,BD_REVIT!$C:$C,$A93,BD_REVIT!$F:$F,N$4)</f>
        <v>0</v>
      </c>
      <c r="O93" s="13" t="n">
        <f aca="false">SUMIFS(BD_REVIT!$H:$H,BD_REVIT!$C:$C,$A93,BD_REVIT!$F:$F,O$4)</f>
        <v>0</v>
      </c>
      <c r="P93" s="13" t="n">
        <f aca="false">SUMIFS(BD_REVIT!$H:$H,BD_REVIT!$C:$C,$A93,BD_REVIT!$F:$F,P$4)</f>
        <v>0</v>
      </c>
      <c r="Q93" s="13" t="n">
        <f aca="false">SUMIFS(BD_REVIT!$H:$H,BD_REVIT!$C:$C,$A93,BD_REVIT!$F:$F,Q$4)</f>
        <v>0</v>
      </c>
      <c r="R93" s="13" t="n">
        <f aca="false">SUMIFS(BD_REVIT!$H:$H,BD_REVIT!$C:$C,$A93,BD_REVIT!$F:$F,R$4)</f>
        <v>0</v>
      </c>
      <c r="S93" s="13" t="n">
        <f aca="false">SUMIFS(BD_REVIT!$H:$H,BD_REVIT!$C:$C,$A93,BD_REVIT!$F:$F,S$4)</f>
        <v>0</v>
      </c>
      <c r="T93" s="13" t="n">
        <f aca="false">SUMIFS(BD_REVIT!$H:$H,BD_REVIT!$C:$C,$A93,BD_REVIT!$F:$F,T$4)</f>
        <v>0</v>
      </c>
      <c r="U93" s="13" t="n">
        <f aca="false">SUMIFS(BD_REVIT!$H:$H,BD_REVIT!$C:$C,$A93,BD_REVIT!$F:$F,U$4)</f>
        <v>0</v>
      </c>
      <c r="V93" s="13" t="n">
        <f aca="false">SUMIFS(BD_REVIT!$H:$H,BD_REVIT!$C:$C,$A93,BD_REVIT!$F:$F,V$4)</f>
        <v>0</v>
      </c>
      <c r="W93" s="13" t="n">
        <f aca="false">SUMIFS(BD_REVIT!$H:$H,BD_REVIT!$C:$C,$A93,BD_REVIT!$F:$F,W$4)</f>
        <v>0</v>
      </c>
      <c r="X93" s="13" t="n">
        <f aca="false">SUMIFS(BD_REVIT!$H:$H,BD_REVIT!$C:$C,$A93,BD_REVIT!$F:$F,X$4)</f>
        <v>0</v>
      </c>
      <c r="Y93" s="13" t="n">
        <f aca="false">SUMIFS(BD_REVIT!$H:$H,BD_REVIT!$C:$C,$A93,BD_REVIT!$F:$F,Y$4)</f>
        <v>0</v>
      </c>
      <c r="Z93" s="52" t="n">
        <f aca="false">SUM(D93:Y93)</f>
        <v>0</v>
      </c>
      <c r="AA93" s="13" t="n">
        <f aca="false">NIVEL!D485</f>
        <v>0</v>
      </c>
      <c r="AB93" s="13" t="n">
        <f aca="false">ROUND(Z93-AA93,2)</f>
        <v>0</v>
      </c>
    </row>
    <row r="94" customFormat="false" ht="15" hidden="false" customHeight="false" outlineLevel="0" collapsed="false">
      <c r="A94" s="10" t="s">
        <v>866</v>
      </c>
      <c r="B94" s="51" t="s">
        <v>867</v>
      </c>
      <c r="C94" s="10" t="s">
        <v>61</v>
      </c>
      <c r="D94" s="13" t="n">
        <f aca="false">SUMIFS(BD_REVIT!$H:$H,BD_REVIT!$C:$C,$A94,BD_REVIT!$F:$F,D$4)</f>
        <v>0</v>
      </c>
      <c r="E94" s="13" t="n">
        <f aca="false">SUMIFS(BD_REVIT!$H:$H,BD_REVIT!$C:$C,$A94,BD_REVIT!$F:$F,E$4)</f>
        <v>0</v>
      </c>
      <c r="F94" s="13" t="n">
        <f aca="false">SUMIFS(BD_REVIT!$H:$H,BD_REVIT!$C:$C,$A94,BD_REVIT!$F:$F,F$4)</f>
        <v>0</v>
      </c>
      <c r="G94" s="13" t="n">
        <f aca="false">SUMIFS(BD_REVIT!$H:$H,BD_REVIT!$C:$C,$A94,BD_REVIT!$F:$F,G$4)</f>
        <v>0</v>
      </c>
      <c r="H94" s="13" t="n">
        <f aca="false">SUMIFS(BD_REVIT!$H:$H,BD_REVIT!$C:$C,$A94,BD_REVIT!$F:$F,H$4)</f>
        <v>0</v>
      </c>
      <c r="I94" s="13" t="n">
        <f aca="false">SUMIFS(BD_REVIT!$H:$H,BD_REVIT!$C:$C,$A94,BD_REVIT!$F:$F,I$4)</f>
        <v>0</v>
      </c>
      <c r="J94" s="13" t="n">
        <f aca="false">SUMIFS(BD_REVIT!$H:$H,BD_REVIT!$C:$C,$A94,BD_REVIT!$F:$F,J$4)</f>
        <v>0</v>
      </c>
      <c r="K94" s="13" t="n">
        <f aca="false">SUMIFS(BD_REVIT!$H:$H,BD_REVIT!$C:$C,$A94,BD_REVIT!$F:$F,K$4)</f>
        <v>0</v>
      </c>
      <c r="L94" s="13" t="n">
        <f aca="false">SUMIFS(BD_REVIT!$H:$H,BD_REVIT!$C:$C,$A94,BD_REVIT!$F:$F,L$4)</f>
        <v>0</v>
      </c>
      <c r="M94" s="13" t="n">
        <f aca="false">SUMIFS(BD_REVIT!$H:$H,BD_REVIT!$C:$C,$A94,BD_REVIT!$F:$F,M$4)</f>
        <v>0</v>
      </c>
      <c r="N94" s="13" t="n">
        <f aca="false">SUMIFS(BD_REVIT!$H:$H,BD_REVIT!$C:$C,$A94,BD_REVIT!$F:$F,N$4)</f>
        <v>0</v>
      </c>
      <c r="O94" s="13" t="n">
        <f aca="false">SUMIFS(BD_REVIT!$H:$H,BD_REVIT!$C:$C,$A94,BD_REVIT!$F:$F,O$4)</f>
        <v>0</v>
      </c>
      <c r="P94" s="13" t="n">
        <f aca="false">SUMIFS(BD_REVIT!$H:$H,BD_REVIT!$C:$C,$A94,BD_REVIT!$F:$F,P$4)</f>
        <v>0</v>
      </c>
      <c r="Q94" s="13" t="n">
        <f aca="false">SUMIFS(BD_REVIT!$H:$H,BD_REVIT!$C:$C,$A94,BD_REVIT!$F:$F,Q$4)</f>
        <v>0</v>
      </c>
      <c r="R94" s="13" t="n">
        <f aca="false">SUMIFS(BD_REVIT!$H:$H,BD_REVIT!$C:$C,$A94,BD_REVIT!$F:$F,R$4)</f>
        <v>0</v>
      </c>
      <c r="S94" s="13" t="n">
        <f aca="false">SUMIFS(BD_REVIT!$H:$H,BD_REVIT!$C:$C,$A94,BD_REVIT!$F:$F,S$4)</f>
        <v>0</v>
      </c>
      <c r="T94" s="13" t="n">
        <f aca="false">SUMIFS(BD_REVIT!$H:$H,BD_REVIT!$C:$C,$A94,BD_REVIT!$F:$F,T$4)</f>
        <v>0</v>
      </c>
      <c r="U94" s="13" t="n">
        <f aca="false">SUMIFS(BD_REVIT!$H:$H,BD_REVIT!$C:$C,$A94,BD_REVIT!$F:$F,U$4)</f>
        <v>0</v>
      </c>
      <c r="V94" s="13" t="n">
        <f aca="false">SUMIFS(BD_REVIT!$H:$H,BD_REVIT!$C:$C,$A94,BD_REVIT!$F:$F,V$4)</f>
        <v>0</v>
      </c>
      <c r="W94" s="13" t="n">
        <f aca="false">SUMIFS(BD_REVIT!$H:$H,BD_REVIT!$C:$C,$A94,BD_REVIT!$F:$F,W$4)</f>
        <v>0</v>
      </c>
      <c r="X94" s="13" t="n">
        <f aca="false">SUMIFS(BD_REVIT!$H:$H,BD_REVIT!$C:$C,$A94,BD_REVIT!$F:$F,X$4)</f>
        <v>0</v>
      </c>
      <c r="Y94" s="13" t="n">
        <f aca="false">SUMIFS(BD_REVIT!$H:$H,BD_REVIT!$C:$C,$A94,BD_REVIT!$F:$F,Y$4)</f>
        <v>0</v>
      </c>
      <c r="Z94" s="52" t="n">
        <f aca="false">SUM(D94:Y94)</f>
        <v>0</v>
      </c>
      <c r="AA94" s="13" t="n">
        <f aca="false">NIVEL!D486</f>
        <v>0</v>
      </c>
      <c r="AB94" s="13" t="n">
        <f aca="false">ROUND(Z94-AA94,2)</f>
        <v>0</v>
      </c>
    </row>
    <row r="95" customFormat="false" ht="15" hidden="false" customHeight="false" outlineLevel="0" collapsed="false">
      <c r="A95" s="10" t="s">
        <v>868</v>
      </c>
      <c r="B95" s="51" t="s">
        <v>869</v>
      </c>
      <c r="C95" s="10" t="s">
        <v>61</v>
      </c>
      <c r="D95" s="13" t="n">
        <f aca="false">SUMIFS(BD_REVIT!$H:$H,BD_REVIT!$C:$C,$A95,BD_REVIT!$F:$F,D$4)</f>
        <v>0</v>
      </c>
      <c r="E95" s="13" t="n">
        <f aca="false">SUMIFS(BD_REVIT!$H:$H,BD_REVIT!$C:$C,$A95,BD_REVIT!$F:$F,E$4)</f>
        <v>0</v>
      </c>
      <c r="F95" s="13" t="n">
        <f aca="false">SUMIFS(BD_REVIT!$H:$H,BD_REVIT!$C:$C,$A95,BD_REVIT!$F:$F,F$4)</f>
        <v>0</v>
      </c>
      <c r="G95" s="13" t="n">
        <f aca="false">SUMIFS(BD_REVIT!$H:$H,BD_REVIT!$C:$C,$A95,BD_REVIT!$F:$F,G$4)</f>
        <v>0</v>
      </c>
      <c r="H95" s="13" t="n">
        <f aca="false">SUMIFS(BD_REVIT!$H:$H,BD_REVIT!$C:$C,$A95,BD_REVIT!$F:$F,H$4)</f>
        <v>0</v>
      </c>
      <c r="I95" s="13" t="n">
        <f aca="false">SUMIFS(BD_REVIT!$H:$H,BD_REVIT!$C:$C,$A95,BD_REVIT!$F:$F,I$4)</f>
        <v>0</v>
      </c>
      <c r="J95" s="13" t="n">
        <f aca="false">SUMIFS(BD_REVIT!$H:$H,BD_REVIT!$C:$C,$A95,BD_REVIT!$F:$F,J$4)</f>
        <v>1</v>
      </c>
      <c r="K95" s="13" t="n">
        <f aca="false">SUMIFS(BD_REVIT!$H:$H,BD_REVIT!$C:$C,$A95,BD_REVIT!$F:$F,K$4)</f>
        <v>0</v>
      </c>
      <c r="L95" s="13" t="n">
        <f aca="false">SUMIFS(BD_REVIT!$H:$H,BD_REVIT!$C:$C,$A95,BD_REVIT!$F:$F,L$4)</f>
        <v>0</v>
      </c>
      <c r="M95" s="13" t="n">
        <f aca="false">SUMIFS(BD_REVIT!$H:$H,BD_REVIT!$C:$C,$A95,BD_REVIT!$F:$F,M$4)</f>
        <v>0</v>
      </c>
      <c r="N95" s="13" t="n">
        <f aca="false">SUMIFS(BD_REVIT!$H:$H,BD_REVIT!$C:$C,$A95,BD_REVIT!$F:$F,N$4)</f>
        <v>0</v>
      </c>
      <c r="O95" s="13" t="n">
        <f aca="false">SUMIFS(BD_REVIT!$H:$H,BD_REVIT!$C:$C,$A95,BD_REVIT!$F:$F,O$4)</f>
        <v>0</v>
      </c>
      <c r="P95" s="13" t="n">
        <f aca="false">SUMIFS(BD_REVIT!$H:$H,BD_REVIT!$C:$C,$A95,BD_REVIT!$F:$F,P$4)</f>
        <v>0</v>
      </c>
      <c r="Q95" s="13" t="n">
        <f aca="false">SUMIFS(BD_REVIT!$H:$H,BD_REVIT!$C:$C,$A95,BD_REVIT!$F:$F,Q$4)</f>
        <v>0</v>
      </c>
      <c r="R95" s="13" t="n">
        <f aca="false">SUMIFS(BD_REVIT!$H:$H,BD_REVIT!$C:$C,$A95,BD_REVIT!$F:$F,R$4)</f>
        <v>0</v>
      </c>
      <c r="S95" s="13" t="n">
        <f aca="false">SUMIFS(BD_REVIT!$H:$H,BD_REVIT!$C:$C,$A95,BD_REVIT!$F:$F,S$4)</f>
        <v>0</v>
      </c>
      <c r="T95" s="13" t="n">
        <f aca="false">SUMIFS(BD_REVIT!$H:$H,BD_REVIT!$C:$C,$A95,BD_REVIT!$F:$F,T$4)</f>
        <v>0</v>
      </c>
      <c r="U95" s="13" t="n">
        <f aca="false">SUMIFS(BD_REVIT!$H:$H,BD_REVIT!$C:$C,$A95,BD_REVIT!$F:$F,U$4)</f>
        <v>0</v>
      </c>
      <c r="V95" s="13" t="n">
        <f aca="false">SUMIFS(BD_REVIT!$H:$H,BD_REVIT!$C:$C,$A95,BD_REVIT!$F:$F,V$4)</f>
        <v>0</v>
      </c>
      <c r="W95" s="13" t="n">
        <f aca="false">SUMIFS(BD_REVIT!$H:$H,BD_REVIT!$C:$C,$A95,BD_REVIT!$F:$F,W$4)</f>
        <v>0</v>
      </c>
      <c r="X95" s="13" t="n">
        <f aca="false">SUMIFS(BD_REVIT!$H:$H,BD_REVIT!$C:$C,$A95,BD_REVIT!$F:$F,X$4)</f>
        <v>0</v>
      </c>
      <c r="Y95" s="13" t="n">
        <f aca="false">SUMIFS(BD_REVIT!$H:$H,BD_REVIT!$C:$C,$A95,BD_REVIT!$F:$F,Y$4)</f>
        <v>0</v>
      </c>
      <c r="Z95" s="52" t="n">
        <f aca="false">SUM(D95:Y95)</f>
        <v>1</v>
      </c>
      <c r="AA95" s="13" t="n">
        <f aca="false">NIVEL!D487</f>
        <v>1</v>
      </c>
      <c r="AB95" s="13" t="n">
        <f aca="false">ROUND(Z95-AA95,2)</f>
        <v>0</v>
      </c>
    </row>
    <row r="96" customFormat="false" ht="15" hidden="false" customHeight="false" outlineLevel="0" collapsed="false">
      <c r="A96" s="10" t="s">
        <v>870</v>
      </c>
      <c r="B96" s="51" t="s">
        <v>871</v>
      </c>
      <c r="C96" s="10" t="s">
        <v>61</v>
      </c>
      <c r="D96" s="13" t="n">
        <f aca="false">SUMIFS(BD_REVIT!$H:$H,BD_REVIT!$C:$C,$A96,BD_REVIT!$F:$F,D$4)</f>
        <v>0</v>
      </c>
      <c r="E96" s="13" t="n">
        <f aca="false">SUMIFS(BD_REVIT!$H:$H,BD_REVIT!$C:$C,$A96,BD_REVIT!$F:$F,E$4)</f>
        <v>0</v>
      </c>
      <c r="F96" s="13" t="n">
        <f aca="false">SUMIFS(BD_REVIT!$H:$H,BD_REVIT!$C:$C,$A96,BD_REVIT!$F:$F,F$4)</f>
        <v>0</v>
      </c>
      <c r="G96" s="13" t="n">
        <f aca="false">SUMIFS(BD_REVIT!$H:$H,BD_REVIT!$C:$C,$A96,BD_REVIT!$F:$F,G$4)</f>
        <v>0</v>
      </c>
      <c r="H96" s="13" t="n">
        <f aca="false">SUMIFS(BD_REVIT!$H:$H,BD_REVIT!$C:$C,$A96,BD_REVIT!$F:$F,H$4)</f>
        <v>0</v>
      </c>
      <c r="I96" s="13" t="n">
        <f aca="false">SUMIFS(BD_REVIT!$H:$H,BD_REVIT!$C:$C,$A96,BD_REVIT!$F:$F,I$4)</f>
        <v>0</v>
      </c>
      <c r="J96" s="13" t="n">
        <f aca="false">SUMIFS(BD_REVIT!$H:$H,BD_REVIT!$C:$C,$A96,BD_REVIT!$F:$F,J$4)</f>
        <v>0</v>
      </c>
      <c r="K96" s="13" t="n">
        <f aca="false">SUMIFS(BD_REVIT!$H:$H,BD_REVIT!$C:$C,$A96,BD_REVIT!$F:$F,K$4)</f>
        <v>0</v>
      </c>
      <c r="L96" s="13" t="n">
        <f aca="false">SUMIFS(BD_REVIT!$H:$H,BD_REVIT!$C:$C,$A96,BD_REVIT!$F:$F,L$4)</f>
        <v>0</v>
      </c>
      <c r="M96" s="13" t="n">
        <f aca="false">SUMIFS(BD_REVIT!$H:$H,BD_REVIT!$C:$C,$A96,BD_REVIT!$F:$F,M$4)</f>
        <v>0</v>
      </c>
      <c r="N96" s="13" t="n">
        <f aca="false">SUMIFS(BD_REVIT!$H:$H,BD_REVIT!$C:$C,$A96,BD_REVIT!$F:$F,N$4)</f>
        <v>0</v>
      </c>
      <c r="O96" s="13" t="n">
        <f aca="false">SUMIFS(BD_REVIT!$H:$H,BD_REVIT!$C:$C,$A96,BD_REVIT!$F:$F,O$4)</f>
        <v>0</v>
      </c>
      <c r="P96" s="13" t="n">
        <f aca="false">SUMIFS(BD_REVIT!$H:$H,BD_REVIT!$C:$C,$A96,BD_REVIT!$F:$F,P$4)</f>
        <v>0</v>
      </c>
      <c r="Q96" s="13" t="n">
        <f aca="false">SUMIFS(BD_REVIT!$H:$H,BD_REVIT!$C:$C,$A96,BD_REVIT!$F:$F,Q$4)</f>
        <v>0</v>
      </c>
      <c r="R96" s="13" t="n">
        <f aca="false">SUMIFS(BD_REVIT!$H:$H,BD_REVIT!$C:$C,$A96,BD_REVIT!$F:$F,R$4)</f>
        <v>0</v>
      </c>
      <c r="S96" s="13" t="n">
        <f aca="false">SUMIFS(BD_REVIT!$H:$H,BD_REVIT!$C:$C,$A96,BD_REVIT!$F:$F,S$4)</f>
        <v>0</v>
      </c>
      <c r="T96" s="13" t="n">
        <f aca="false">SUMIFS(BD_REVIT!$H:$H,BD_REVIT!$C:$C,$A96,BD_REVIT!$F:$F,T$4)</f>
        <v>0</v>
      </c>
      <c r="U96" s="13" t="n">
        <f aca="false">SUMIFS(BD_REVIT!$H:$H,BD_REVIT!$C:$C,$A96,BD_REVIT!$F:$F,U$4)</f>
        <v>0</v>
      </c>
      <c r="V96" s="13" t="n">
        <f aca="false">SUMIFS(BD_REVIT!$H:$H,BD_REVIT!$C:$C,$A96,BD_REVIT!$F:$F,V$4)</f>
        <v>0</v>
      </c>
      <c r="W96" s="13" t="n">
        <f aca="false">SUMIFS(BD_REVIT!$H:$H,BD_REVIT!$C:$C,$A96,BD_REVIT!$F:$F,W$4)</f>
        <v>0</v>
      </c>
      <c r="X96" s="13" t="n">
        <f aca="false">SUMIFS(BD_REVIT!$H:$H,BD_REVIT!$C:$C,$A96,BD_REVIT!$F:$F,X$4)</f>
        <v>0</v>
      </c>
      <c r="Y96" s="13" t="n">
        <f aca="false">SUMIFS(BD_REVIT!$H:$H,BD_REVIT!$C:$C,$A96,BD_REVIT!$F:$F,Y$4)</f>
        <v>0</v>
      </c>
      <c r="Z96" s="52" t="n">
        <f aca="false">SUM(D96:Y96)</f>
        <v>0</v>
      </c>
      <c r="AA96" s="13" t="n">
        <f aca="false">NIVEL!D488</f>
        <v>0</v>
      </c>
      <c r="AB96" s="13" t="n">
        <f aca="false">ROUND(Z96-AA96,2)</f>
        <v>0</v>
      </c>
    </row>
    <row r="97" customFormat="false" ht="15" hidden="false" customHeight="false" outlineLevel="0" collapsed="false">
      <c r="A97" s="10" t="s">
        <v>872</v>
      </c>
      <c r="B97" s="51" t="s">
        <v>873</v>
      </c>
      <c r="C97" s="10" t="s">
        <v>61</v>
      </c>
      <c r="D97" s="13" t="n">
        <f aca="false">SUMIFS(BD_REVIT!$H:$H,BD_REVIT!$C:$C,$A97,BD_REVIT!$F:$F,D$4)</f>
        <v>7</v>
      </c>
      <c r="E97" s="13" t="n">
        <f aca="false">SUMIFS(BD_REVIT!$H:$H,BD_REVIT!$C:$C,$A97,BD_REVIT!$F:$F,E$4)</f>
        <v>0</v>
      </c>
      <c r="F97" s="13" t="n">
        <f aca="false">SUMIFS(BD_REVIT!$H:$H,BD_REVIT!$C:$C,$A97,BD_REVIT!$F:$F,F$4)</f>
        <v>0</v>
      </c>
      <c r="G97" s="13" t="n">
        <f aca="false">SUMIFS(BD_REVIT!$H:$H,BD_REVIT!$C:$C,$A97,BD_REVIT!$F:$F,G$4)</f>
        <v>0</v>
      </c>
      <c r="H97" s="13" t="n">
        <f aca="false">SUMIFS(BD_REVIT!$H:$H,BD_REVIT!$C:$C,$A97,BD_REVIT!$F:$F,H$4)</f>
        <v>0</v>
      </c>
      <c r="I97" s="13" t="n">
        <f aca="false">SUMIFS(BD_REVIT!$H:$H,BD_REVIT!$C:$C,$A97,BD_REVIT!$F:$F,I$4)</f>
        <v>0</v>
      </c>
      <c r="J97" s="13" t="n">
        <f aca="false">SUMIFS(BD_REVIT!$H:$H,BD_REVIT!$C:$C,$A97,BD_REVIT!$F:$F,J$4)</f>
        <v>0</v>
      </c>
      <c r="K97" s="13" t="n">
        <f aca="false">SUMIFS(BD_REVIT!$H:$H,BD_REVIT!$C:$C,$A97,BD_REVIT!$F:$F,K$4)</f>
        <v>0</v>
      </c>
      <c r="L97" s="13" t="n">
        <f aca="false">SUMIFS(BD_REVIT!$H:$H,BD_REVIT!$C:$C,$A97,BD_REVIT!$F:$F,L$4)</f>
        <v>0</v>
      </c>
      <c r="M97" s="13" t="n">
        <f aca="false">SUMIFS(BD_REVIT!$H:$H,BD_REVIT!$C:$C,$A97,BD_REVIT!$F:$F,M$4)</f>
        <v>0</v>
      </c>
      <c r="N97" s="13" t="n">
        <f aca="false">SUMIFS(BD_REVIT!$H:$H,BD_REVIT!$C:$C,$A97,BD_REVIT!$F:$F,N$4)</f>
        <v>0</v>
      </c>
      <c r="O97" s="13" t="n">
        <f aca="false">SUMIFS(BD_REVIT!$H:$H,BD_REVIT!$C:$C,$A97,BD_REVIT!$F:$F,O$4)</f>
        <v>0</v>
      </c>
      <c r="P97" s="13" t="n">
        <f aca="false">SUMIFS(BD_REVIT!$H:$H,BD_REVIT!$C:$C,$A97,BD_REVIT!$F:$F,P$4)</f>
        <v>0</v>
      </c>
      <c r="Q97" s="13" t="n">
        <f aca="false">SUMIFS(BD_REVIT!$H:$H,BD_REVIT!$C:$C,$A97,BD_REVIT!$F:$F,Q$4)</f>
        <v>0</v>
      </c>
      <c r="R97" s="13" t="n">
        <f aca="false">SUMIFS(BD_REVIT!$H:$H,BD_REVIT!$C:$C,$A97,BD_REVIT!$F:$F,R$4)</f>
        <v>0</v>
      </c>
      <c r="S97" s="13" t="n">
        <f aca="false">SUMIFS(BD_REVIT!$H:$H,BD_REVIT!$C:$C,$A97,BD_REVIT!$F:$F,S$4)</f>
        <v>0</v>
      </c>
      <c r="T97" s="13" t="n">
        <f aca="false">SUMIFS(BD_REVIT!$H:$H,BD_REVIT!$C:$C,$A97,BD_REVIT!$F:$F,T$4)</f>
        <v>0</v>
      </c>
      <c r="U97" s="13" t="n">
        <f aca="false">SUMIFS(BD_REVIT!$H:$H,BD_REVIT!$C:$C,$A97,BD_REVIT!$F:$F,U$4)</f>
        <v>0</v>
      </c>
      <c r="V97" s="13" t="n">
        <f aca="false">SUMIFS(BD_REVIT!$H:$H,BD_REVIT!$C:$C,$A97,BD_REVIT!$F:$F,V$4)</f>
        <v>0</v>
      </c>
      <c r="W97" s="13" t="n">
        <f aca="false">SUMIFS(BD_REVIT!$H:$H,BD_REVIT!$C:$C,$A97,BD_REVIT!$F:$F,W$4)</f>
        <v>0</v>
      </c>
      <c r="X97" s="13" t="n">
        <f aca="false">SUMIFS(BD_REVIT!$H:$H,BD_REVIT!$C:$C,$A97,BD_REVIT!$F:$F,X$4)</f>
        <v>0</v>
      </c>
      <c r="Y97" s="13" t="n">
        <f aca="false">SUMIFS(BD_REVIT!$H:$H,BD_REVIT!$C:$C,$A97,BD_REVIT!$F:$F,Y$4)</f>
        <v>0</v>
      </c>
      <c r="Z97" s="52" t="n">
        <f aca="false">SUM(D97:Y97)</f>
        <v>7</v>
      </c>
      <c r="AA97" s="13" t="n">
        <f aca="false">NIVEL!D489</f>
        <v>7</v>
      </c>
      <c r="AB97" s="13" t="n">
        <f aca="false">ROUND(Z97-AA97,2)</f>
        <v>0</v>
      </c>
    </row>
    <row r="98" customFormat="false" ht="15" hidden="false" customHeight="false" outlineLevel="0" collapsed="false">
      <c r="A98" s="10" t="s">
        <v>874</v>
      </c>
      <c r="B98" s="51" t="s">
        <v>875</v>
      </c>
      <c r="C98" s="10" t="s">
        <v>61</v>
      </c>
      <c r="D98" s="13" t="n">
        <f aca="false">SUMIFS(BD_REVIT!$H:$H,BD_REVIT!$C:$C,$A98,BD_REVIT!$F:$F,D$4)</f>
        <v>0</v>
      </c>
      <c r="E98" s="13" t="n">
        <f aca="false">SUMIFS(BD_REVIT!$H:$H,BD_REVIT!$C:$C,$A98,BD_REVIT!$F:$F,E$4)</f>
        <v>0</v>
      </c>
      <c r="F98" s="13" t="n">
        <f aca="false">SUMIFS(BD_REVIT!$H:$H,BD_REVIT!$C:$C,$A98,BD_REVIT!$F:$F,F$4)</f>
        <v>0</v>
      </c>
      <c r="G98" s="13" t="n">
        <f aca="false">SUMIFS(BD_REVIT!$H:$H,BD_REVIT!$C:$C,$A98,BD_REVIT!$F:$F,G$4)</f>
        <v>0</v>
      </c>
      <c r="H98" s="13" t="n">
        <f aca="false">SUMIFS(BD_REVIT!$H:$H,BD_REVIT!$C:$C,$A98,BD_REVIT!$F:$F,H$4)</f>
        <v>0</v>
      </c>
      <c r="I98" s="13" t="n">
        <f aca="false">SUMIFS(BD_REVIT!$H:$H,BD_REVIT!$C:$C,$A98,BD_REVIT!$F:$F,I$4)</f>
        <v>0</v>
      </c>
      <c r="J98" s="13" t="n">
        <f aca="false">SUMIFS(BD_REVIT!$H:$H,BD_REVIT!$C:$C,$A98,BD_REVIT!$F:$F,J$4)</f>
        <v>0</v>
      </c>
      <c r="K98" s="13" t="n">
        <f aca="false">SUMIFS(BD_REVIT!$H:$H,BD_REVIT!$C:$C,$A98,BD_REVIT!$F:$F,K$4)</f>
        <v>0</v>
      </c>
      <c r="L98" s="13" t="n">
        <f aca="false">SUMIFS(BD_REVIT!$H:$H,BD_REVIT!$C:$C,$A98,BD_REVIT!$F:$F,L$4)</f>
        <v>0</v>
      </c>
      <c r="M98" s="13" t="n">
        <f aca="false">SUMIFS(BD_REVIT!$H:$H,BD_REVIT!$C:$C,$A98,BD_REVIT!$F:$F,M$4)</f>
        <v>0</v>
      </c>
      <c r="N98" s="13" t="n">
        <f aca="false">SUMIFS(BD_REVIT!$H:$H,BD_REVIT!$C:$C,$A98,BD_REVIT!$F:$F,N$4)</f>
        <v>0</v>
      </c>
      <c r="O98" s="13" t="n">
        <f aca="false">SUMIFS(BD_REVIT!$H:$H,BD_REVIT!$C:$C,$A98,BD_REVIT!$F:$F,O$4)</f>
        <v>0</v>
      </c>
      <c r="P98" s="13" t="n">
        <f aca="false">SUMIFS(BD_REVIT!$H:$H,BD_REVIT!$C:$C,$A98,BD_REVIT!$F:$F,P$4)</f>
        <v>0</v>
      </c>
      <c r="Q98" s="13" t="n">
        <f aca="false">SUMIFS(BD_REVIT!$H:$H,BD_REVIT!$C:$C,$A98,BD_REVIT!$F:$F,Q$4)</f>
        <v>0</v>
      </c>
      <c r="R98" s="13" t="n">
        <f aca="false">SUMIFS(BD_REVIT!$H:$H,BD_REVIT!$C:$C,$A98,BD_REVIT!$F:$F,R$4)</f>
        <v>0</v>
      </c>
      <c r="S98" s="13" t="n">
        <f aca="false">SUMIFS(BD_REVIT!$H:$H,BD_REVIT!$C:$C,$A98,BD_REVIT!$F:$F,S$4)</f>
        <v>0</v>
      </c>
      <c r="T98" s="13" t="n">
        <f aca="false">SUMIFS(BD_REVIT!$H:$H,BD_REVIT!$C:$C,$A98,BD_REVIT!$F:$F,T$4)</f>
        <v>0</v>
      </c>
      <c r="U98" s="13" t="n">
        <f aca="false">SUMIFS(BD_REVIT!$H:$H,BD_REVIT!$C:$C,$A98,BD_REVIT!$F:$F,U$4)</f>
        <v>0</v>
      </c>
      <c r="V98" s="13" t="n">
        <f aca="false">SUMIFS(BD_REVIT!$H:$H,BD_REVIT!$C:$C,$A98,BD_REVIT!$F:$F,V$4)</f>
        <v>0</v>
      </c>
      <c r="W98" s="13" t="n">
        <f aca="false">SUMIFS(BD_REVIT!$H:$H,BD_REVIT!$C:$C,$A98,BD_REVIT!$F:$F,W$4)</f>
        <v>0</v>
      </c>
      <c r="X98" s="13" t="n">
        <f aca="false">SUMIFS(BD_REVIT!$H:$H,BD_REVIT!$C:$C,$A98,BD_REVIT!$F:$F,X$4)</f>
        <v>0</v>
      </c>
      <c r="Y98" s="13" t="n">
        <f aca="false">SUMIFS(BD_REVIT!$H:$H,BD_REVIT!$C:$C,$A98,BD_REVIT!$F:$F,Y$4)</f>
        <v>0</v>
      </c>
      <c r="Z98" s="52" t="n">
        <f aca="false">SUM(D98:Y98)</f>
        <v>0</v>
      </c>
      <c r="AA98" s="13" t="n">
        <f aca="false">NIVEL!D490</f>
        <v>0</v>
      </c>
      <c r="AB98" s="13" t="n">
        <f aca="false">ROUND(Z98-AA98,2)</f>
        <v>0</v>
      </c>
    </row>
    <row r="99" customFormat="false" ht="15" hidden="false" customHeight="false" outlineLevel="0" collapsed="false">
      <c r="A99" s="10" t="s">
        <v>876</v>
      </c>
      <c r="B99" s="51" t="s">
        <v>877</v>
      </c>
      <c r="C99" s="10" t="s">
        <v>61</v>
      </c>
      <c r="D99" s="13" t="n">
        <f aca="false">SUMIFS(BD_REVIT!$H:$H,BD_REVIT!$C:$C,$A99,BD_REVIT!$F:$F,D$4)</f>
        <v>0</v>
      </c>
      <c r="E99" s="13" t="n">
        <f aca="false">SUMIFS(BD_REVIT!$H:$H,BD_REVIT!$C:$C,$A99,BD_REVIT!$F:$F,E$4)</f>
        <v>0</v>
      </c>
      <c r="F99" s="13" t="n">
        <f aca="false">SUMIFS(BD_REVIT!$H:$H,BD_REVIT!$C:$C,$A99,BD_REVIT!$F:$F,F$4)</f>
        <v>0</v>
      </c>
      <c r="G99" s="13" t="n">
        <f aca="false">SUMIFS(BD_REVIT!$H:$H,BD_REVIT!$C:$C,$A99,BD_REVIT!$F:$F,G$4)</f>
        <v>0</v>
      </c>
      <c r="H99" s="13" t="n">
        <f aca="false">SUMIFS(BD_REVIT!$H:$H,BD_REVIT!$C:$C,$A99,BD_REVIT!$F:$F,H$4)</f>
        <v>0</v>
      </c>
      <c r="I99" s="13" t="n">
        <f aca="false">SUMIFS(BD_REVIT!$H:$H,BD_REVIT!$C:$C,$A99,BD_REVIT!$F:$F,I$4)</f>
        <v>0</v>
      </c>
      <c r="J99" s="13" t="n">
        <f aca="false">SUMIFS(BD_REVIT!$H:$H,BD_REVIT!$C:$C,$A99,BD_REVIT!$F:$F,J$4)</f>
        <v>0</v>
      </c>
      <c r="K99" s="13" t="n">
        <f aca="false">SUMIFS(BD_REVIT!$H:$H,BD_REVIT!$C:$C,$A99,BD_REVIT!$F:$F,K$4)</f>
        <v>0</v>
      </c>
      <c r="L99" s="13" t="n">
        <f aca="false">SUMIFS(BD_REVIT!$H:$H,BD_REVIT!$C:$C,$A99,BD_REVIT!$F:$F,L$4)</f>
        <v>0</v>
      </c>
      <c r="M99" s="13" t="n">
        <f aca="false">SUMIFS(BD_REVIT!$H:$H,BD_REVIT!$C:$C,$A99,BD_REVIT!$F:$F,M$4)</f>
        <v>0</v>
      </c>
      <c r="N99" s="13" t="n">
        <f aca="false">SUMIFS(BD_REVIT!$H:$H,BD_REVIT!$C:$C,$A99,BD_REVIT!$F:$F,N$4)</f>
        <v>0</v>
      </c>
      <c r="O99" s="13" t="n">
        <f aca="false">SUMIFS(BD_REVIT!$H:$H,BD_REVIT!$C:$C,$A99,BD_REVIT!$F:$F,O$4)</f>
        <v>0</v>
      </c>
      <c r="P99" s="13" t="n">
        <f aca="false">SUMIFS(BD_REVIT!$H:$H,BD_REVIT!$C:$C,$A99,BD_REVIT!$F:$F,P$4)</f>
        <v>0</v>
      </c>
      <c r="Q99" s="13" t="n">
        <f aca="false">SUMIFS(BD_REVIT!$H:$H,BD_REVIT!$C:$C,$A99,BD_REVIT!$F:$F,Q$4)</f>
        <v>0</v>
      </c>
      <c r="R99" s="13" t="n">
        <f aca="false">SUMIFS(BD_REVIT!$H:$H,BD_REVIT!$C:$C,$A99,BD_REVIT!$F:$F,R$4)</f>
        <v>0</v>
      </c>
      <c r="S99" s="13" t="n">
        <f aca="false">SUMIFS(BD_REVIT!$H:$H,BD_REVIT!$C:$C,$A99,BD_REVIT!$F:$F,S$4)</f>
        <v>0</v>
      </c>
      <c r="T99" s="13" t="n">
        <f aca="false">SUMIFS(BD_REVIT!$H:$H,BD_REVIT!$C:$C,$A99,BD_REVIT!$F:$F,T$4)</f>
        <v>0</v>
      </c>
      <c r="U99" s="13" t="n">
        <f aca="false">SUMIFS(BD_REVIT!$H:$H,BD_REVIT!$C:$C,$A99,BD_REVIT!$F:$F,U$4)</f>
        <v>0</v>
      </c>
      <c r="V99" s="13" t="n">
        <f aca="false">SUMIFS(BD_REVIT!$H:$H,BD_REVIT!$C:$C,$A99,BD_REVIT!$F:$F,V$4)</f>
        <v>0</v>
      </c>
      <c r="W99" s="13" t="n">
        <f aca="false">SUMIFS(BD_REVIT!$H:$H,BD_REVIT!$C:$C,$A99,BD_REVIT!$F:$F,W$4)</f>
        <v>0</v>
      </c>
      <c r="X99" s="13" t="n">
        <f aca="false">SUMIFS(BD_REVIT!$H:$H,BD_REVIT!$C:$C,$A99,BD_REVIT!$F:$F,X$4)</f>
        <v>0</v>
      </c>
      <c r="Y99" s="13" t="n">
        <f aca="false">SUMIFS(BD_REVIT!$H:$H,BD_REVIT!$C:$C,$A99,BD_REVIT!$F:$F,Y$4)</f>
        <v>0</v>
      </c>
      <c r="Z99" s="52" t="n">
        <f aca="false">SUM(D99:Y99)</f>
        <v>0</v>
      </c>
      <c r="AA99" s="13" t="n">
        <f aca="false">NIVEL!D491</f>
        <v>0</v>
      </c>
      <c r="AB99" s="13" t="n">
        <f aca="false">ROUND(Z99-AA99,2)</f>
        <v>0</v>
      </c>
    </row>
    <row r="100" customFormat="false" ht="15" hidden="false" customHeight="false" outlineLevel="0" collapsed="false">
      <c r="A100" s="10" t="s">
        <v>878</v>
      </c>
      <c r="B100" s="51" t="s">
        <v>879</v>
      </c>
      <c r="C100" s="10" t="s">
        <v>61</v>
      </c>
      <c r="D100" s="13" t="n">
        <f aca="false">SUMIFS(BD_REVIT!$H:$H,BD_REVIT!$C:$C,$A100,BD_REVIT!$F:$F,D$4)</f>
        <v>1</v>
      </c>
      <c r="E100" s="13" t="n">
        <f aca="false">SUMIFS(BD_REVIT!$H:$H,BD_REVIT!$C:$C,$A100,BD_REVIT!$F:$F,E$4)</f>
        <v>0</v>
      </c>
      <c r="F100" s="13" t="n">
        <f aca="false">SUMIFS(BD_REVIT!$H:$H,BD_REVIT!$C:$C,$A100,BD_REVIT!$F:$F,F$4)</f>
        <v>0</v>
      </c>
      <c r="G100" s="13" t="n">
        <f aca="false">SUMIFS(BD_REVIT!$H:$H,BD_REVIT!$C:$C,$A100,BD_REVIT!$F:$F,G$4)</f>
        <v>0</v>
      </c>
      <c r="H100" s="13" t="n">
        <f aca="false">SUMIFS(BD_REVIT!$H:$H,BD_REVIT!$C:$C,$A100,BD_REVIT!$F:$F,H$4)</f>
        <v>0</v>
      </c>
      <c r="I100" s="13" t="n">
        <f aca="false">SUMIFS(BD_REVIT!$H:$H,BD_REVIT!$C:$C,$A100,BD_REVIT!$F:$F,I$4)</f>
        <v>0</v>
      </c>
      <c r="J100" s="13" t="n">
        <f aca="false">SUMIFS(BD_REVIT!$H:$H,BD_REVIT!$C:$C,$A100,BD_REVIT!$F:$F,J$4)</f>
        <v>0</v>
      </c>
      <c r="K100" s="13" t="n">
        <f aca="false">SUMIFS(BD_REVIT!$H:$H,BD_REVIT!$C:$C,$A100,BD_REVIT!$F:$F,K$4)</f>
        <v>0</v>
      </c>
      <c r="L100" s="13" t="n">
        <f aca="false">SUMIFS(BD_REVIT!$H:$H,BD_REVIT!$C:$C,$A100,BD_REVIT!$F:$F,L$4)</f>
        <v>0</v>
      </c>
      <c r="M100" s="13" t="n">
        <f aca="false">SUMIFS(BD_REVIT!$H:$H,BD_REVIT!$C:$C,$A100,BD_REVIT!$F:$F,M$4)</f>
        <v>0</v>
      </c>
      <c r="N100" s="13" t="n">
        <f aca="false">SUMIFS(BD_REVIT!$H:$H,BD_REVIT!$C:$C,$A100,BD_REVIT!$F:$F,N$4)</f>
        <v>0</v>
      </c>
      <c r="O100" s="13" t="n">
        <f aca="false">SUMIFS(BD_REVIT!$H:$H,BD_REVIT!$C:$C,$A100,BD_REVIT!$F:$F,O$4)</f>
        <v>0</v>
      </c>
      <c r="P100" s="13" t="n">
        <f aca="false">SUMIFS(BD_REVIT!$H:$H,BD_REVIT!$C:$C,$A100,BD_REVIT!$F:$F,P$4)</f>
        <v>0</v>
      </c>
      <c r="Q100" s="13" t="n">
        <f aca="false">SUMIFS(BD_REVIT!$H:$H,BD_REVIT!$C:$C,$A100,BD_REVIT!$F:$F,Q$4)</f>
        <v>0</v>
      </c>
      <c r="R100" s="13" t="n">
        <f aca="false">SUMIFS(BD_REVIT!$H:$H,BD_REVIT!$C:$C,$A100,BD_REVIT!$F:$F,R$4)</f>
        <v>0</v>
      </c>
      <c r="S100" s="13" t="n">
        <f aca="false">SUMIFS(BD_REVIT!$H:$H,BD_REVIT!$C:$C,$A100,BD_REVIT!$F:$F,S$4)</f>
        <v>0</v>
      </c>
      <c r="T100" s="13" t="n">
        <f aca="false">SUMIFS(BD_REVIT!$H:$H,BD_REVIT!$C:$C,$A100,BD_REVIT!$F:$F,T$4)</f>
        <v>0</v>
      </c>
      <c r="U100" s="13" t="n">
        <f aca="false">SUMIFS(BD_REVIT!$H:$H,BD_REVIT!$C:$C,$A100,BD_REVIT!$F:$F,U$4)</f>
        <v>0</v>
      </c>
      <c r="V100" s="13" t="n">
        <f aca="false">SUMIFS(BD_REVIT!$H:$H,BD_REVIT!$C:$C,$A100,BD_REVIT!$F:$F,V$4)</f>
        <v>0</v>
      </c>
      <c r="W100" s="13" t="n">
        <f aca="false">SUMIFS(BD_REVIT!$H:$H,BD_REVIT!$C:$C,$A100,BD_REVIT!$F:$F,W$4)</f>
        <v>0</v>
      </c>
      <c r="X100" s="13" t="n">
        <f aca="false">SUMIFS(BD_REVIT!$H:$H,BD_REVIT!$C:$C,$A100,BD_REVIT!$F:$F,X$4)</f>
        <v>0</v>
      </c>
      <c r="Y100" s="13" t="n">
        <f aca="false">SUMIFS(BD_REVIT!$H:$H,BD_REVIT!$C:$C,$A100,BD_REVIT!$F:$F,Y$4)</f>
        <v>0</v>
      </c>
      <c r="Z100" s="52" t="n">
        <f aca="false">SUM(D100:Y100)</f>
        <v>1</v>
      </c>
      <c r="AA100" s="13" t="n">
        <f aca="false">NIVEL!D492</f>
        <v>1</v>
      </c>
      <c r="AB100" s="13" t="n">
        <f aca="false">ROUND(Z100-AA100,2)</f>
        <v>0</v>
      </c>
    </row>
    <row r="101" customFormat="false" ht="15" hidden="false" customHeight="false" outlineLevel="0" collapsed="false">
      <c r="A101" s="10" t="s">
        <v>880</v>
      </c>
      <c r="B101" s="51" t="s">
        <v>881</v>
      </c>
      <c r="C101" s="10" t="s">
        <v>61</v>
      </c>
      <c r="D101" s="13" t="n">
        <f aca="false">SUMIFS(BD_REVIT!$H:$H,BD_REVIT!$C:$C,$A101,BD_REVIT!$F:$F,D$4)</f>
        <v>0</v>
      </c>
      <c r="E101" s="13" t="n">
        <f aca="false">SUMIFS(BD_REVIT!$H:$H,BD_REVIT!$C:$C,$A101,BD_REVIT!$F:$F,E$4)</f>
        <v>0</v>
      </c>
      <c r="F101" s="13" t="n">
        <f aca="false">SUMIFS(BD_REVIT!$H:$H,BD_REVIT!$C:$C,$A101,BD_REVIT!$F:$F,F$4)</f>
        <v>0</v>
      </c>
      <c r="G101" s="13" t="n">
        <f aca="false">SUMIFS(BD_REVIT!$H:$H,BD_REVIT!$C:$C,$A101,BD_REVIT!$F:$F,G$4)</f>
        <v>0</v>
      </c>
      <c r="H101" s="13" t="n">
        <f aca="false">SUMIFS(BD_REVIT!$H:$H,BD_REVIT!$C:$C,$A101,BD_REVIT!$F:$F,H$4)</f>
        <v>0</v>
      </c>
      <c r="I101" s="13" t="n">
        <f aca="false">SUMIFS(BD_REVIT!$H:$H,BD_REVIT!$C:$C,$A101,BD_REVIT!$F:$F,I$4)</f>
        <v>0</v>
      </c>
      <c r="J101" s="13" t="n">
        <f aca="false">SUMIFS(BD_REVIT!$H:$H,BD_REVIT!$C:$C,$A101,BD_REVIT!$F:$F,J$4)</f>
        <v>0</v>
      </c>
      <c r="K101" s="13" t="n">
        <f aca="false">SUMIFS(BD_REVIT!$H:$H,BD_REVIT!$C:$C,$A101,BD_REVIT!$F:$F,K$4)</f>
        <v>0</v>
      </c>
      <c r="L101" s="13" t="n">
        <f aca="false">SUMIFS(BD_REVIT!$H:$H,BD_REVIT!$C:$C,$A101,BD_REVIT!$F:$F,L$4)</f>
        <v>0</v>
      </c>
      <c r="M101" s="13" t="n">
        <f aca="false">SUMIFS(BD_REVIT!$H:$H,BD_REVIT!$C:$C,$A101,BD_REVIT!$F:$F,M$4)</f>
        <v>0</v>
      </c>
      <c r="N101" s="13" t="n">
        <f aca="false">SUMIFS(BD_REVIT!$H:$H,BD_REVIT!$C:$C,$A101,BD_REVIT!$F:$F,N$4)</f>
        <v>0</v>
      </c>
      <c r="O101" s="13" t="n">
        <f aca="false">SUMIFS(BD_REVIT!$H:$H,BD_REVIT!$C:$C,$A101,BD_REVIT!$F:$F,O$4)</f>
        <v>0</v>
      </c>
      <c r="P101" s="13" t="n">
        <f aca="false">SUMIFS(BD_REVIT!$H:$H,BD_REVIT!$C:$C,$A101,BD_REVIT!$F:$F,P$4)</f>
        <v>0</v>
      </c>
      <c r="Q101" s="13" t="n">
        <f aca="false">SUMIFS(BD_REVIT!$H:$H,BD_REVIT!$C:$C,$A101,BD_REVIT!$F:$F,Q$4)</f>
        <v>0</v>
      </c>
      <c r="R101" s="13" t="n">
        <f aca="false">SUMIFS(BD_REVIT!$H:$H,BD_REVIT!$C:$C,$A101,BD_REVIT!$F:$F,R$4)</f>
        <v>0</v>
      </c>
      <c r="S101" s="13" t="n">
        <f aca="false">SUMIFS(BD_REVIT!$H:$H,BD_REVIT!$C:$C,$A101,BD_REVIT!$F:$F,S$4)</f>
        <v>0</v>
      </c>
      <c r="T101" s="13" t="n">
        <f aca="false">SUMIFS(BD_REVIT!$H:$H,BD_REVIT!$C:$C,$A101,BD_REVIT!$F:$F,T$4)</f>
        <v>0</v>
      </c>
      <c r="U101" s="13" t="n">
        <f aca="false">SUMIFS(BD_REVIT!$H:$H,BD_REVIT!$C:$C,$A101,BD_REVIT!$F:$F,U$4)</f>
        <v>0</v>
      </c>
      <c r="V101" s="13" t="n">
        <f aca="false">SUMIFS(BD_REVIT!$H:$H,BD_REVIT!$C:$C,$A101,BD_REVIT!$F:$F,V$4)</f>
        <v>0</v>
      </c>
      <c r="W101" s="13" t="n">
        <f aca="false">SUMIFS(BD_REVIT!$H:$H,BD_REVIT!$C:$C,$A101,BD_REVIT!$F:$F,W$4)</f>
        <v>0</v>
      </c>
      <c r="X101" s="13" t="n">
        <f aca="false">SUMIFS(BD_REVIT!$H:$H,BD_REVIT!$C:$C,$A101,BD_REVIT!$F:$F,X$4)</f>
        <v>0</v>
      </c>
      <c r="Y101" s="13" t="n">
        <f aca="false">SUMIFS(BD_REVIT!$H:$H,BD_REVIT!$C:$C,$A101,BD_REVIT!$F:$F,Y$4)</f>
        <v>0</v>
      </c>
      <c r="Z101" s="52" t="n">
        <f aca="false">SUM(D101:Y101)</f>
        <v>0</v>
      </c>
      <c r="AA101" s="13" t="n">
        <f aca="false">NIVEL!D493</f>
        <v>0</v>
      </c>
      <c r="AB101" s="13" t="n">
        <f aca="false">ROUND(Z101-AA101,2)</f>
        <v>0</v>
      </c>
    </row>
    <row r="102" customFormat="false" ht="15" hidden="false" customHeight="false" outlineLevel="0" collapsed="false">
      <c r="A102" s="10" t="s">
        <v>882</v>
      </c>
      <c r="B102" s="51" t="s">
        <v>883</v>
      </c>
      <c r="C102" s="10" t="s">
        <v>61</v>
      </c>
      <c r="D102" s="13" t="n">
        <f aca="false">SUMIFS(BD_REVIT!$H:$H,BD_REVIT!$C:$C,$A102,BD_REVIT!$F:$F,D$4)</f>
        <v>0</v>
      </c>
      <c r="E102" s="13" t="n">
        <f aca="false">SUMIFS(BD_REVIT!$H:$H,BD_REVIT!$C:$C,$A102,BD_REVIT!$F:$F,E$4)</f>
        <v>0</v>
      </c>
      <c r="F102" s="13" t="n">
        <f aca="false">SUMIFS(BD_REVIT!$H:$H,BD_REVIT!$C:$C,$A102,BD_REVIT!$F:$F,F$4)</f>
        <v>0</v>
      </c>
      <c r="G102" s="13" t="n">
        <f aca="false">SUMIFS(BD_REVIT!$H:$H,BD_REVIT!$C:$C,$A102,BD_REVIT!$F:$F,G$4)</f>
        <v>0</v>
      </c>
      <c r="H102" s="13" t="n">
        <f aca="false">SUMIFS(BD_REVIT!$H:$H,BD_REVIT!$C:$C,$A102,BD_REVIT!$F:$F,H$4)</f>
        <v>0</v>
      </c>
      <c r="I102" s="13" t="n">
        <f aca="false">SUMIFS(BD_REVIT!$H:$H,BD_REVIT!$C:$C,$A102,BD_REVIT!$F:$F,I$4)</f>
        <v>0</v>
      </c>
      <c r="J102" s="13" t="n">
        <f aca="false">SUMIFS(BD_REVIT!$H:$H,BD_REVIT!$C:$C,$A102,BD_REVIT!$F:$F,J$4)</f>
        <v>0</v>
      </c>
      <c r="K102" s="13" t="n">
        <f aca="false">SUMIFS(BD_REVIT!$H:$H,BD_REVIT!$C:$C,$A102,BD_REVIT!$F:$F,K$4)</f>
        <v>0</v>
      </c>
      <c r="L102" s="13" t="n">
        <f aca="false">SUMIFS(BD_REVIT!$H:$H,BD_REVIT!$C:$C,$A102,BD_REVIT!$F:$F,L$4)</f>
        <v>0</v>
      </c>
      <c r="M102" s="13" t="n">
        <f aca="false">SUMIFS(BD_REVIT!$H:$H,BD_REVIT!$C:$C,$A102,BD_REVIT!$F:$F,M$4)</f>
        <v>0</v>
      </c>
      <c r="N102" s="13" t="n">
        <f aca="false">SUMIFS(BD_REVIT!$H:$H,BD_REVIT!$C:$C,$A102,BD_REVIT!$F:$F,N$4)</f>
        <v>0</v>
      </c>
      <c r="O102" s="13" t="n">
        <f aca="false">SUMIFS(BD_REVIT!$H:$H,BD_REVIT!$C:$C,$A102,BD_REVIT!$F:$F,O$4)</f>
        <v>0</v>
      </c>
      <c r="P102" s="13" t="n">
        <f aca="false">SUMIFS(BD_REVIT!$H:$H,BD_REVIT!$C:$C,$A102,BD_REVIT!$F:$F,P$4)</f>
        <v>0</v>
      </c>
      <c r="Q102" s="13" t="n">
        <f aca="false">SUMIFS(BD_REVIT!$H:$H,BD_REVIT!$C:$C,$A102,BD_REVIT!$F:$F,Q$4)</f>
        <v>0</v>
      </c>
      <c r="R102" s="13" t="n">
        <f aca="false">SUMIFS(BD_REVIT!$H:$H,BD_REVIT!$C:$C,$A102,BD_REVIT!$F:$F,R$4)</f>
        <v>0</v>
      </c>
      <c r="S102" s="13" t="n">
        <f aca="false">SUMIFS(BD_REVIT!$H:$H,BD_REVIT!$C:$C,$A102,BD_REVIT!$F:$F,S$4)</f>
        <v>0</v>
      </c>
      <c r="T102" s="13" t="n">
        <f aca="false">SUMIFS(BD_REVIT!$H:$H,BD_REVIT!$C:$C,$A102,BD_REVIT!$F:$F,T$4)</f>
        <v>0</v>
      </c>
      <c r="U102" s="13" t="n">
        <f aca="false">SUMIFS(BD_REVIT!$H:$H,BD_REVIT!$C:$C,$A102,BD_REVIT!$F:$F,U$4)</f>
        <v>0</v>
      </c>
      <c r="V102" s="13" t="n">
        <f aca="false">SUMIFS(BD_REVIT!$H:$H,BD_REVIT!$C:$C,$A102,BD_REVIT!$F:$F,V$4)</f>
        <v>0</v>
      </c>
      <c r="W102" s="13" t="n">
        <f aca="false">SUMIFS(BD_REVIT!$H:$H,BD_REVIT!$C:$C,$A102,BD_REVIT!$F:$F,W$4)</f>
        <v>0</v>
      </c>
      <c r="X102" s="13" t="n">
        <f aca="false">SUMIFS(BD_REVIT!$H:$H,BD_REVIT!$C:$C,$A102,BD_REVIT!$F:$F,X$4)</f>
        <v>0</v>
      </c>
      <c r="Y102" s="13" t="n">
        <f aca="false">SUMIFS(BD_REVIT!$H:$H,BD_REVIT!$C:$C,$A102,BD_REVIT!$F:$F,Y$4)</f>
        <v>0</v>
      </c>
      <c r="Z102" s="52" t="n">
        <f aca="false">SUM(D102:Y102)</f>
        <v>0</v>
      </c>
      <c r="AA102" s="13" t="n">
        <f aca="false">NIVEL!D494</f>
        <v>0</v>
      </c>
      <c r="AB102" s="13" t="n">
        <f aca="false">ROUND(Z102-AA102,2)</f>
        <v>0</v>
      </c>
    </row>
    <row r="103" customFormat="false" ht="15" hidden="false" customHeight="false" outlineLevel="0" collapsed="false">
      <c r="A103" s="10" t="s">
        <v>884</v>
      </c>
      <c r="B103" s="51" t="s">
        <v>427</v>
      </c>
      <c r="C103" s="10" t="s">
        <v>61</v>
      </c>
      <c r="D103" s="13" t="n">
        <f aca="false">SUMIFS(BD_REVIT!$H:$H,BD_REVIT!$C:$C,$A103,BD_REVIT!$F:$F,D$4)</f>
        <v>0</v>
      </c>
      <c r="E103" s="13" t="n">
        <f aca="false">SUMIFS(BD_REVIT!$H:$H,BD_REVIT!$C:$C,$A103,BD_REVIT!$F:$F,E$4)</f>
        <v>0</v>
      </c>
      <c r="F103" s="13" t="n">
        <f aca="false">SUMIFS(BD_REVIT!$H:$H,BD_REVIT!$C:$C,$A103,BD_REVIT!$F:$F,F$4)</f>
        <v>0</v>
      </c>
      <c r="G103" s="13" t="n">
        <f aca="false">SUMIFS(BD_REVIT!$H:$H,BD_REVIT!$C:$C,$A103,BD_REVIT!$F:$F,G$4)</f>
        <v>0</v>
      </c>
      <c r="H103" s="13" t="n">
        <f aca="false">SUMIFS(BD_REVIT!$H:$H,BD_REVIT!$C:$C,$A103,BD_REVIT!$F:$F,H$4)</f>
        <v>0</v>
      </c>
      <c r="I103" s="13" t="n">
        <f aca="false">SUMIFS(BD_REVIT!$H:$H,BD_REVIT!$C:$C,$A103,BD_REVIT!$F:$F,I$4)</f>
        <v>0</v>
      </c>
      <c r="J103" s="13" t="n">
        <f aca="false">SUMIFS(BD_REVIT!$H:$H,BD_REVIT!$C:$C,$A103,BD_REVIT!$F:$F,J$4)</f>
        <v>0</v>
      </c>
      <c r="K103" s="13" t="n">
        <f aca="false">SUMIFS(BD_REVIT!$H:$H,BD_REVIT!$C:$C,$A103,BD_REVIT!$F:$F,K$4)</f>
        <v>0</v>
      </c>
      <c r="L103" s="13" t="n">
        <f aca="false">SUMIFS(BD_REVIT!$H:$H,BD_REVIT!$C:$C,$A103,BD_REVIT!$F:$F,L$4)</f>
        <v>0</v>
      </c>
      <c r="M103" s="13" t="n">
        <f aca="false">SUMIFS(BD_REVIT!$H:$H,BD_REVIT!$C:$C,$A103,BD_REVIT!$F:$F,M$4)</f>
        <v>0</v>
      </c>
      <c r="N103" s="13" t="n">
        <f aca="false">SUMIFS(BD_REVIT!$H:$H,BD_REVIT!$C:$C,$A103,BD_REVIT!$F:$F,N$4)</f>
        <v>0</v>
      </c>
      <c r="O103" s="13" t="n">
        <f aca="false">SUMIFS(BD_REVIT!$H:$H,BD_REVIT!$C:$C,$A103,BD_REVIT!$F:$F,O$4)</f>
        <v>0</v>
      </c>
      <c r="P103" s="13" t="n">
        <f aca="false">SUMIFS(BD_REVIT!$H:$H,BD_REVIT!$C:$C,$A103,BD_REVIT!$F:$F,P$4)</f>
        <v>0</v>
      </c>
      <c r="Q103" s="13" t="n">
        <f aca="false">SUMIFS(BD_REVIT!$H:$H,BD_REVIT!$C:$C,$A103,BD_REVIT!$F:$F,Q$4)</f>
        <v>0</v>
      </c>
      <c r="R103" s="13" t="n">
        <f aca="false">SUMIFS(BD_REVIT!$H:$H,BD_REVIT!$C:$C,$A103,BD_REVIT!$F:$F,R$4)</f>
        <v>0</v>
      </c>
      <c r="S103" s="13" t="n">
        <f aca="false">SUMIFS(BD_REVIT!$H:$H,BD_REVIT!$C:$C,$A103,BD_REVIT!$F:$F,S$4)</f>
        <v>0</v>
      </c>
      <c r="T103" s="13" t="n">
        <f aca="false">SUMIFS(BD_REVIT!$H:$H,BD_REVIT!$C:$C,$A103,BD_REVIT!$F:$F,T$4)</f>
        <v>0</v>
      </c>
      <c r="U103" s="13" t="n">
        <f aca="false">SUMIFS(BD_REVIT!$H:$H,BD_REVIT!$C:$C,$A103,BD_REVIT!$F:$F,U$4)</f>
        <v>0</v>
      </c>
      <c r="V103" s="13" t="n">
        <f aca="false">SUMIFS(BD_REVIT!$H:$H,BD_REVIT!$C:$C,$A103,BD_REVIT!$F:$F,V$4)</f>
        <v>0</v>
      </c>
      <c r="W103" s="13" t="n">
        <f aca="false">SUMIFS(BD_REVIT!$H:$H,BD_REVIT!$C:$C,$A103,BD_REVIT!$F:$F,W$4)</f>
        <v>0</v>
      </c>
      <c r="X103" s="13" t="n">
        <f aca="false">SUMIFS(BD_REVIT!$H:$H,BD_REVIT!$C:$C,$A103,BD_REVIT!$F:$F,X$4)</f>
        <v>0</v>
      </c>
      <c r="Y103" s="13" t="n">
        <f aca="false">SUMIFS(BD_REVIT!$H:$H,BD_REVIT!$C:$C,$A103,BD_REVIT!$F:$F,Y$4)</f>
        <v>0</v>
      </c>
      <c r="Z103" s="52" t="n">
        <f aca="false">SUM(D103:Y103)</f>
        <v>0</v>
      </c>
      <c r="AA103" s="13" t="n">
        <f aca="false">NIVEL!D495</f>
        <v>0</v>
      </c>
      <c r="AB103" s="13" t="n">
        <f aca="false">ROUND(Z103-AA103,2)</f>
        <v>0</v>
      </c>
    </row>
    <row r="104" customFormat="false" ht="15" hidden="false" customHeight="false" outlineLevel="0" collapsed="false">
      <c r="A104" s="10" t="s">
        <v>885</v>
      </c>
      <c r="B104" s="51" t="s">
        <v>886</v>
      </c>
      <c r="C104" s="10" t="s">
        <v>61</v>
      </c>
      <c r="D104" s="13" t="n">
        <f aca="false">SUMIFS(BD_REVIT!$H:$H,BD_REVIT!$C:$C,$A104,BD_REVIT!$F:$F,D$4)</f>
        <v>1</v>
      </c>
      <c r="E104" s="13" t="n">
        <f aca="false">SUMIFS(BD_REVIT!$H:$H,BD_REVIT!$C:$C,$A104,BD_REVIT!$F:$F,E$4)</f>
        <v>0</v>
      </c>
      <c r="F104" s="13" t="n">
        <f aca="false">SUMIFS(BD_REVIT!$H:$H,BD_REVIT!$C:$C,$A104,BD_REVIT!$F:$F,F$4)</f>
        <v>0</v>
      </c>
      <c r="G104" s="13" t="n">
        <f aca="false">SUMIFS(BD_REVIT!$H:$H,BD_REVIT!$C:$C,$A104,BD_REVIT!$F:$F,G$4)</f>
        <v>0</v>
      </c>
      <c r="H104" s="13" t="n">
        <f aca="false">SUMIFS(BD_REVIT!$H:$H,BD_REVIT!$C:$C,$A104,BD_REVIT!$F:$F,H$4)</f>
        <v>0</v>
      </c>
      <c r="I104" s="13" t="n">
        <f aca="false">SUMIFS(BD_REVIT!$H:$H,BD_REVIT!$C:$C,$A104,BD_REVIT!$F:$F,I$4)</f>
        <v>0</v>
      </c>
      <c r="J104" s="13" t="n">
        <f aca="false">SUMIFS(BD_REVIT!$H:$H,BD_REVIT!$C:$C,$A104,BD_REVIT!$F:$F,J$4)</f>
        <v>0</v>
      </c>
      <c r="K104" s="13" t="n">
        <f aca="false">SUMIFS(BD_REVIT!$H:$H,BD_REVIT!$C:$C,$A104,BD_REVIT!$F:$F,K$4)</f>
        <v>0</v>
      </c>
      <c r="L104" s="13" t="n">
        <f aca="false">SUMIFS(BD_REVIT!$H:$H,BD_REVIT!$C:$C,$A104,BD_REVIT!$F:$F,L$4)</f>
        <v>0</v>
      </c>
      <c r="M104" s="13" t="n">
        <f aca="false">SUMIFS(BD_REVIT!$H:$H,BD_REVIT!$C:$C,$A104,BD_REVIT!$F:$F,M$4)</f>
        <v>0</v>
      </c>
      <c r="N104" s="13" t="n">
        <f aca="false">SUMIFS(BD_REVIT!$H:$H,BD_REVIT!$C:$C,$A104,BD_REVIT!$F:$F,N$4)</f>
        <v>0</v>
      </c>
      <c r="O104" s="13" t="n">
        <f aca="false">SUMIFS(BD_REVIT!$H:$H,BD_REVIT!$C:$C,$A104,BD_REVIT!$F:$F,O$4)</f>
        <v>0</v>
      </c>
      <c r="P104" s="13" t="n">
        <f aca="false">SUMIFS(BD_REVIT!$H:$H,BD_REVIT!$C:$C,$A104,BD_REVIT!$F:$F,P$4)</f>
        <v>0</v>
      </c>
      <c r="Q104" s="13" t="n">
        <f aca="false">SUMIFS(BD_REVIT!$H:$H,BD_REVIT!$C:$C,$A104,BD_REVIT!$F:$F,Q$4)</f>
        <v>0</v>
      </c>
      <c r="R104" s="13" t="n">
        <f aca="false">SUMIFS(BD_REVIT!$H:$H,BD_REVIT!$C:$C,$A104,BD_REVIT!$F:$F,R$4)</f>
        <v>0</v>
      </c>
      <c r="S104" s="13" t="n">
        <f aca="false">SUMIFS(BD_REVIT!$H:$H,BD_REVIT!$C:$C,$A104,BD_REVIT!$F:$F,S$4)</f>
        <v>0</v>
      </c>
      <c r="T104" s="13" t="n">
        <f aca="false">SUMIFS(BD_REVIT!$H:$H,BD_REVIT!$C:$C,$A104,BD_REVIT!$F:$F,T$4)</f>
        <v>0</v>
      </c>
      <c r="U104" s="13" t="n">
        <f aca="false">SUMIFS(BD_REVIT!$H:$H,BD_REVIT!$C:$C,$A104,BD_REVIT!$F:$F,U$4)</f>
        <v>0</v>
      </c>
      <c r="V104" s="13" t="n">
        <f aca="false">SUMIFS(BD_REVIT!$H:$H,BD_REVIT!$C:$C,$A104,BD_REVIT!$F:$F,V$4)</f>
        <v>0</v>
      </c>
      <c r="W104" s="13" t="n">
        <f aca="false">SUMIFS(BD_REVIT!$H:$H,BD_REVIT!$C:$C,$A104,BD_REVIT!$F:$F,W$4)</f>
        <v>0</v>
      </c>
      <c r="X104" s="13" t="n">
        <f aca="false">SUMIFS(BD_REVIT!$H:$H,BD_REVIT!$C:$C,$A104,BD_REVIT!$F:$F,X$4)</f>
        <v>0</v>
      </c>
      <c r="Y104" s="13" t="n">
        <f aca="false">SUMIFS(BD_REVIT!$H:$H,BD_REVIT!$C:$C,$A104,BD_REVIT!$F:$F,Y$4)</f>
        <v>0</v>
      </c>
      <c r="Z104" s="52" t="n">
        <f aca="false">SUM(D104:Y104)</f>
        <v>1</v>
      </c>
      <c r="AA104" s="13" t="n">
        <f aca="false">NIVEL!D496</f>
        <v>1</v>
      </c>
      <c r="AB104" s="13" t="n">
        <f aca="false">ROUND(Z104-AA104,2)</f>
        <v>0</v>
      </c>
    </row>
    <row r="105" customFormat="false" ht="15" hidden="false" customHeight="false" outlineLevel="0" collapsed="false">
      <c r="A105" s="10" t="s">
        <v>887</v>
      </c>
      <c r="B105" s="51" t="s">
        <v>888</v>
      </c>
      <c r="C105" s="10" t="s">
        <v>61</v>
      </c>
      <c r="D105" s="13" t="n">
        <f aca="false">SUMIFS(BD_REVIT!$H:$H,BD_REVIT!$C:$C,$A105,BD_REVIT!$F:$F,D$4)</f>
        <v>1</v>
      </c>
      <c r="E105" s="13" t="n">
        <f aca="false">SUMIFS(BD_REVIT!$H:$H,BD_REVIT!$C:$C,$A105,BD_REVIT!$F:$F,E$4)</f>
        <v>0</v>
      </c>
      <c r="F105" s="13" t="n">
        <f aca="false">SUMIFS(BD_REVIT!$H:$H,BD_REVIT!$C:$C,$A105,BD_REVIT!$F:$F,F$4)</f>
        <v>0</v>
      </c>
      <c r="G105" s="13" t="n">
        <f aca="false">SUMIFS(BD_REVIT!$H:$H,BD_REVIT!$C:$C,$A105,BD_REVIT!$F:$F,G$4)</f>
        <v>0</v>
      </c>
      <c r="H105" s="13" t="n">
        <f aca="false">SUMIFS(BD_REVIT!$H:$H,BD_REVIT!$C:$C,$A105,BD_REVIT!$F:$F,H$4)</f>
        <v>0</v>
      </c>
      <c r="I105" s="13" t="n">
        <f aca="false">SUMIFS(BD_REVIT!$H:$H,BD_REVIT!$C:$C,$A105,BD_REVIT!$F:$F,I$4)</f>
        <v>0</v>
      </c>
      <c r="J105" s="13" t="n">
        <f aca="false">SUMIFS(BD_REVIT!$H:$H,BD_REVIT!$C:$C,$A105,BD_REVIT!$F:$F,J$4)</f>
        <v>0</v>
      </c>
      <c r="K105" s="13" t="n">
        <f aca="false">SUMIFS(BD_REVIT!$H:$H,BD_REVIT!$C:$C,$A105,BD_REVIT!$F:$F,K$4)</f>
        <v>0</v>
      </c>
      <c r="L105" s="13" t="n">
        <f aca="false">SUMIFS(BD_REVIT!$H:$H,BD_REVIT!$C:$C,$A105,BD_REVIT!$F:$F,L$4)</f>
        <v>0</v>
      </c>
      <c r="M105" s="13" t="n">
        <f aca="false">SUMIFS(BD_REVIT!$H:$H,BD_REVIT!$C:$C,$A105,BD_REVIT!$F:$F,M$4)</f>
        <v>0</v>
      </c>
      <c r="N105" s="13" t="n">
        <f aca="false">SUMIFS(BD_REVIT!$H:$H,BD_REVIT!$C:$C,$A105,BD_REVIT!$F:$F,N$4)</f>
        <v>0</v>
      </c>
      <c r="O105" s="13" t="n">
        <f aca="false">SUMIFS(BD_REVIT!$H:$H,BD_REVIT!$C:$C,$A105,BD_REVIT!$F:$F,O$4)</f>
        <v>0</v>
      </c>
      <c r="P105" s="13" t="n">
        <f aca="false">SUMIFS(BD_REVIT!$H:$H,BD_REVIT!$C:$C,$A105,BD_REVIT!$F:$F,P$4)</f>
        <v>0</v>
      </c>
      <c r="Q105" s="13" t="n">
        <f aca="false">SUMIFS(BD_REVIT!$H:$H,BD_REVIT!$C:$C,$A105,BD_REVIT!$F:$F,Q$4)</f>
        <v>0</v>
      </c>
      <c r="R105" s="13" t="n">
        <f aca="false">SUMIFS(BD_REVIT!$H:$H,BD_REVIT!$C:$C,$A105,BD_REVIT!$F:$F,R$4)</f>
        <v>0</v>
      </c>
      <c r="S105" s="13" t="n">
        <f aca="false">SUMIFS(BD_REVIT!$H:$H,BD_REVIT!$C:$C,$A105,BD_REVIT!$F:$F,S$4)</f>
        <v>0</v>
      </c>
      <c r="T105" s="13" t="n">
        <f aca="false">SUMIFS(BD_REVIT!$H:$H,BD_REVIT!$C:$C,$A105,BD_REVIT!$F:$F,T$4)</f>
        <v>0</v>
      </c>
      <c r="U105" s="13" t="n">
        <f aca="false">SUMIFS(BD_REVIT!$H:$H,BD_REVIT!$C:$C,$A105,BD_REVIT!$F:$F,U$4)</f>
        <v>0</v>
      </c>
      <c r="V105" s="13" t="n">
        <f aca="false">SUMIFS(BD_REVIT!$H:$H,BD_REVIT!$C:$C,$A105,BD_REVIT!$F:$F,V$4)</f>
        <v>0</v>
      </c>
      <c r="W105" s="13" t="n">
        <f aca="false">SUMIFS(BD_REVIT!$H:$H,BD_REVIT!$C:$C,$A105,BD_REVIT!$F:$F,W$4)</f>
        <v>0</v>
      </c>
      <c r="X105" s="13" t="n">
        <f aca="false">SUMIFS(BD_REVIT!$H:$H,BD_REVIT!$C:$C,$A105,BD_REVIT!$F:$F,X$4)</f>
        <v>0</v>
      </c>
      <c r="Y105" s="13" t="n">
        <f aca="false">SUMIFS(BD_REVIT!$H:$H,BD_REVIT!$C:$C,$A105,BD_REVIT!$F:$F,Y$4)</f>
        <v>0</v>
      </c>
      <c r="Z105" s="52" t="n">
        <f aca="false">SUM(D105:Y105)</f>
        <v>1</v>
      </c>
      <c r="AA105" s="13" t="n">
        <f aca="false">NIVEL!D497</f>
        <v>1</v>
      </c>
      <c r="AB105" s="13" t="n">
        <f aca="false">ROUND(Z105-AA105,2)</f>
        <v>0</v>
      </c>
    </row>
    <row r="106" customFormat="false" ht="15" hidden="false" customHeight="false" outlineLevel="0" collapsed="false">
      <c r="A106" s="10" t="s">
        <v>889</v>
      </c>
      <c r="B106" s="51" t="s">
        <v>890</v>
      </c>
      <c r="C106" s="10" t="s">
        <v>61</v>
      </c>
      <c r="D106" s="13" t="n">
        <f aca="false">SUMIFS(BD_REVIT!$H:$H,BD_REVIT!$C:$C,$A106,BD_REVIT!$F:$F,D$4)</f>
        <v>0</v>
      </c>
      <c r="E106" s="13" t="n">
        <f aca="false">SUMIFS(BD_REVIT!$H:$H,BD_REVIT!$C:$C,$A106,BD_REVIT!$F:$F,E$4)</f>
        <v>0</v>
      </c>
      <c r="F106" s="13" t="n">
        <f aca="false">SUMIFS(BD_REVIT!$H:$H,BD_REVIT!$C:$C,$A106,BD_REVIT!$F:$F,F$4)</f>
        <v>0</v>
      </c>
      <c r="G106" s="13" t="n">
        <f aca="false">SUMIFS(BD_REVIT!$H:$H,BD_REVIT!$C:$C,$A106,BD_REVIT!$F:$F,G$4)</f>
        <v>0</v>
      </c>
      <c r="H106" s="13" t="n">
        <f aca="false">SUMIFS(BD_REVIT!$H:$H,BD_REVIT!$C:$C,$A106,BD_REVIT!$F:$F,H$4)</f>
        <v>0</v>
      </c>
      <c r="I106" s="13" t="n">
        <f aca="false">SUMIFS(BD_REVIT!$H:$H,BD_REVIT!$C:$C,$A106,BD_REVIT!$F:$F,I$4)</f>
        <v>0</v>
      </c>
      <c r="J106" s="13" t="n">
        <f aca="false">SUMIFS(BD_REVIT!$H:$H,BD_REVIT!$C:$C,$A106,BD_REVIT!$F:$F,J$4)</f>
        <v>0</v>
      </c>
      <c r="K106" s="13" t="n">
        <f aca="false">SUMIFS(BD_REVIT!$H:$H,BD_REVIT!$C:$C,$A106,BD_REVIT!$F:$F,K$4)</f>
        <v>0</v>
      </c>
      <c r="L106" s="13" t="n">
        <f aca="false">SUMIFS(BD_REVIT!$H:$H,BD_REVIT!$C:$C,$A106,BD_REVIT!$F:$F,L$4)</f>
        <v>0</v>
      </c>
      <c r="M106" s="13" t="n">
        <f aca="false">SUMIFS(BD_REVIT!$H:$H,BD_REVIT!$C:$C,$A106,BD_REVIT!$F:$F,M$4)</f>
        <v>0</v>
      </c>
      <c r="N106" s="13" t="n">
        <f aca="false">SUMIFS(BD_REVIT!$H:$H,BD_REVIT!$C:$C,$A106,BD_REVIT!$F:$F,N$4)</f>
        <v>0</v>
      </c>
      <c r="O106" s="13" t="n">
        <f aca="false">SUMIFS(BD_REVIT!$H:$H,BD_REVIT!$C:$C,$A106,BD_REVIT!$F:$F,O$4)</f>
        <v>0</v>
      </c>
      <c r="P106" s="13" t="n">
        <f aca="false">SUMIFS(BD_REVIT!$H:$H,BD_REVIT!$C:$C,$A106,BD_REVIT!$F:$F,P$4)</f>
        <v>0</v>
      </c>
      <c r="Q106" s="13" t="n">
        <f aca="false">SUMIFS(BD_REVIT!$H:$H,BD_REVIT!$C:$C,$A106,BD_REVIT!$F:$F,Q$4)</f>
        <v>0</v>
      </c>
      <c r="R106" s="13" t="n">
        <f aca="false">SUMIFS(BD_REVIT!$H:$H,BD_REVIT!$C:$C,$A106,BD_REVIT!$F:$F,R$4)</f>
        <v>0</v>
      </c>
      <c r="S106" s="13" t="n">
        <f aca="false">SUMIFS(BD_REVIT!$H:$H,BD_REVIT!$C:$C,$A106,BD_REVIT!$F:$F,S$4)</f>
        <v>0</v>
      </c>
      <c r="T106" s="13" t="n">
        <f aca="false">SUMIFS(BD_REVIT!$H:$H,BD_REVIT!$C:$C,$A106,BD_REVIT!$F:$F,T$4)</f>
        <v>0</v>
      </c>
      <c r="U106" s="13" t="n">
        <f aca="false">SUMIFS(BD_REVIT!$H:$H,BD_REVIT!$C:$C,$A106,BD_REVIT!$F:$F,U$4)</f>
        <v>0</v>
      </c>
      <c r="V106" s="13" t="n">
        <f aca="false">SUMIFS(BD_REVIT!$H:$H,BD_REVIT!$C:$C,$A106,BD_REVIT!$F:$F,V$4)</f>
        <v>0</v>
      </c>
      <c r="W106" s="13" t="n">
        <f aca="false">SUMIFS(BD_REVIT!$H:$H,BD_REVIT!$C:$C,$A106,BD_REVIT!$F:$F,W$4)</f>
        <v>2</v>
      </c>
      <c r="X106" s="13" t="n">
        <f aca="false">SUMIFS(BD_REVIT!$H:$H,BD_REVIT!$C:$C,$A106,BD_REVIT!$F:$F,X$4)</f>
        <v>0</v>
      </c>
      <c r="Y106" s="13" t="n">
        <f aca="false">SUMIFS(BD_REVIT!$H:$H,BD_REVIT!$C:$C,$A106,BD_REVIT!$F:$F,Y$4)</f>
        <v>0</v>
      </c>
      <c r="Z106" s="52" t="n">
        <f aca="false">SUM(D106:Y106)</f>
        <v>2</v>
      </c>
      <c r="AA106" s="13" t="n">
        <f aca="false">NIVEL!D498</f>
        <v>2</v>
      </c>
      <c r="AB106" s="13" t="n">
        <f aca="false">ROUND(Z106-AA106,2)</f>
        <v>0</v>
      </c>
    </row>
    <row r="107" customFormat="false" ht="15" hidden="false" customHeight="false" outlineLevel="0" collapsed="false">
      <c r="A107" s="10" t="s">
        <v>891</v>
      </c>
      <c r="B107" s="51" t="s">
        <v>892</v>
      </c>
      <c r="C107" s="10" t="s">
        <v>61</v>
      </c>
      <c r="D107" s="13" t="n">
        <f aca="false">SUMIFS(BD_REVIT!$H:$H,BD_REVIT!$C:$C,$A107,BD_REVIT!$F:$F,D$4)</f>
        <v>0</v>
      </c>
      <c r="E107" s="13" t="n">
        <f aca="false">SUMIFS(BD_REVIT!$H:$H,BD_REVIT!$C:$C,$A107,BD_REVIT!$F:$F,E$4)</f>
        <v>0</v>
      </c>
      <c r="F107" s="13" t="n">
        <f aca="false">SUMIFS(BD_REVIT!$H:$H,BD_REVIT!$C:$C,$A107,BD_REVIT!$F:$F,F$4)</f>
        <v>0</v>
      </c>
      <c r="G107" s="13" t="n">
        <f aca="false">SUMIFS(BD_REVIT!$H:$H,BD_REVIT!$C:$C,$A107,BD_REVIT!$F:$F,G$4)</f>
        <v>0</v>
      </c>
      <c r="H107" s="13" t="n">
        <f aca="false">SUMIFS(BD_REVIT!$H:$H,BD_REVIT!$C:$C,$A107,BD_REVIT!$F:$F,H$4)</f>
        <v>0</v>
      </c>
      <c r="I107" s="13" t="n">
        <f aca="false">SUMIFS(BD_REVIT!$H:$H,BD_REVIT!$C:$C,$A107,BD_REVIT!$F:$F,I$4)</f>
        <v>0</v>
      </c>
      <c r="J107" s="13" t="n">
        <f aca="false">SUMIFS(BD_REVIT!$H:$H,BD_REVIT!$C:$C,$A107,BD_REVIT!$F:$F,J$4)</f>
        <v>0</v>
      </c>
      <c r="K107" s="13" t="n">
        <f aca="false">SUMIFS(BD_REVIT!$H:$H,BD_REVIT!$C:$C,$A107,BD_REVIT!$F:$F,K$4)</f>
        <v>0</v>
      </c>
      <c r="L107" s="13" t="n">
        <f aca="false">SUMIFS(BD_REVIT!$H:$H,BD_REVIT!$C:$C,$A107,BD_REVIT!$F:$F,L$4)</f>
        <v>0</v>
      </c>
      <c r="M107" s="13" t="n">
        <f aca="false">SUMIFS(BD_REVIT!$H:$H,BD_REVIT!$C:$C,$A107,BD_REVIT!$F:$F,M$4)</f>
        <v>0</v>
      </c>
      <c r="N107" s="13" t="n">
        <f aca="false">SUMIFS(BD_REVIT!$H:$H,BD_REVIT!$C:$C,$A107,BD_REVIT!$F:$F,N$4)</f>
        <v>0</v>
      </c>
      <c r="O107" s="13" t="n">
        <f aca="false">SUMIFS(BD_REVIT!$H:$H,BD_REVIT!$C:$C,$A107,BD_REVIT!$F:$F,O$4)</f>
        <v>0</v>
      </c>
      <c r="P107" s="13" t="n">
        <f aca="false">SUMIFS(BD_REVIT!$H:$H,BD_REVIT!$C:$C,$A107,BD_REVIT!$F:$F,P$4)</f>
        <v>0</v>
      </c>
      <c r="Q107" s="13" t="n">
        <f aca="false">SUMIFS(BD_REVIT!$H:$H,BD_REVIT!$C:$C,$A107,BD_REVIT!$F:$F,Q$4)</f>
        <v>0</v>
      </c>
      <c r="R107" s="13" t="n">
        <f aca="false">SUMIFS(BD_REVIT!$H:$H,BD_REVIT!$C:$C,$A107,BD_REVIT!$F:$F,R$4)</f>
        <v>0</v>
      </c>
      <c r="S107" s="13" t="n">
        <f aca="false">SUMIFS(BD_REVIT!$H:$H,BD_REVIT!$C:$C,$A107,BD_REVIT!$F:$F,S$4)</f>
        <v>0</v>
      </c>
      <c r="T107" s="13" t="n">
        <f aca="false">SUMIFS(BD_REVIT!$H:$H,BD_REVIT!$C:$C,$A107,BD_REVIT!$F:$F,T$4)</f>
        <v>0</v>
      </c>
      <c r="U107" s="13" t="n">
        <f aca="false">SUMIFS(BD_REVIT!$H:$H,BD_REVIT!$C:$C,$A107,BD_REVIT!$F:$F,U$4)</f>
        <v>0</v>
      </c>
      <c r="V107" s="13" t="n">
        <f aca="false">SUMIFS(BD_REVIT!$H:$H,BD_REVIT!$C:$C,$A107,BD_REVIT!$F:$F,V$4)</f>
        <v>0</v>
      </c>
      <c r="W107" s="13" t="n">
        <f aca="false">SUMIFS(BD_REVIT!$H:$H,BD_REVIT!$C:$C,$A107,BD_REVIT!$F:$F,W$4)</f>
        <v>0</v>
      </c>
      <c r="X107" s="13" t="n">
        <f aca="false">SUMIFS(BD_REVIT!$H:$H,BD_REVIT!$C:$C,$A107,BD_REVIT!$F:$F,X$4)</f>
        <v>0</v>
      </c>
      <c r="Y107" s="13" t="n">
        <f aca="false">SUMIFS(BD_REVIT!$H:$H,BD_REVIT!$C:$C,$A107,BD_REVIT!$F:$F,Y$4)</f>
        <v>0</v>
      </c>
      <c r="Z107" s="52" t="n">
        <f aca="false">SUM(D107:Y107)</f>
        <v>0</v>
      </c>
      <c r="AA107" s="13" t="n">
        <f aca="false">NIVEL!D499</f>
        <v>0</v>
      </c>
      <c r="AB107" s="13" t="n">
        <f aca="false">ROUND(Z107-AA107,2)</f>
        <v>0</v>
      </c>
    </row>
    <row r="108" customFormat="false" ht="15" hidden="false" customHeight="false" outlineLevel="0" collapsed="false">
      <c r="A108" s="10" t="s">
        <v>893</v>
      </c>
      <c r="B108" s="51" t="s">
        <v>894</v>
      </c>
      <c r="C108" s="10" t="s">
        <v>61</v>
      </c>
      <c r="D108" s="13" t="n">
        <f aca="false">SUMIFS(BD_REVIT!$H:$H,BD_REVIT!$C:$C,$A108,BD_REVIT!$F:$F,D$4)</f>
        <v>0</v>
      </c>
      <c r="E108" s="13" t="n">
        <f aca="false">SUMIFS(BD_REVIT!$H:$H,BD_REVIT!$C:$C,$A108,BD_REVIT!$F:$F,E$4)</f>
        <v>0</v>
      </c>
      <c r="F108" s="13" t="n">
        <f aca="false">SUMIFS(BD_REVIT!$H:$H,BD_REVIT!$C:$C,$A108,BD_REVIT!$F:$F,F$4)</f>
        <v>0</v>
      </c>
      <c r="G108" s="13" t="n">
        <f aca="false">SUMIFS(BD_REVIT!$H:$H,BD_REVIT!$C:$C,$A108,BD_REVIT!$F:$F,G$4)</f>
        <v>0</v>
      </c>
      <c r="H108" s="13" t="n">
        <f aca="false">SUMIFS(BD_REVIT!$H:$H,BD_REVIT!$C:$C,$A108,BD_REVIT!$F:$F,H$4)</f>
        <v>0</v>
      </c>
      <c r="I108" s="13" t="n">
        <f aca="false">SUMIFS(BD_REVIT!$H:$H,BD_REVIT!$C:$C,$A108,BD_REVIT!$F:$F,I$4)</f>
        <v>0</v>
      </c>
      <c r="J108" s="13" t="n">
        <f aca="false">SUMIFS(BD_REVIT!$H:$H,BD_REVIT!$C:$C,$A108,BD_REVIT!$F:$F,J$4)</f>
        <v>0</v>
      </c>
      <c r="K108" s="13" t="n">
        <f aca="false">SUMIFS(BD_REVIT!$H:$H,BD_REVIT!$C:$C,$A108,BD_REVIT!$F:$F,K$4)</f>
        <v>0</v>
      </c>
      <c r="L108" s="13" t="n">
        <f aca="false">SUMIFS(BD_REVIT!$H:$H,BD_REVIT!$C:$C,$A108,BD_REVIT!$F:$F,L$4)</f>
        <v>0</v>
      </c>
      <c r="M108" s="13" t="n">
        <f aca="false">SUMIFS(BD_REVIT!$H:$H,BD_REVIT!$C:$C,$A108,BD_REVIT!$F:$F,M$4)</f>
        <v>0</v>
      </c>
      <c r="N108" s="13" t="n">
        <f aca="false">SUMIFS(BD_REVIT!$H:$H,BD_REVIT!$C:$C,$A108,BD_REVIT!$F:$F,N$4)</f>
        <v>0</v>
      </c>
      <c r="O108" s="13" t="n">
        <f aca="false">SUMIFS(BD_REVIT!$H:$H,BD_REVIT!$C:$C,$A108,BD_REVIT!$F:$F,O$4)</f>
        <v>0</v>
      </c>
      <c r="P108" s="13" t="n">
        <f aca="false">SUMIFS(BD_REVIT!$H:$H,BD_REVIT!$C:$C,$A108,BD_REVIT!$F:$F,P$4)</f>
        <v>0</v>
      </c>
      <c r="Q108" s="13" t="n">
        <f aca="false">SUMIFS(BD_REVIT!$H:$H,BD_REVIT!$C:$C,$A108,BD_REVIT!$F:$F,Q$4)</f>
        <v>0</v>
      </c>
      <c r="R108" s="13" t="n">
        <f aca="false">SUMIFS(BD_REVIT!$H:$H,BD_REVIT!$C:$C,$A108,BD_REVIT!$F:$F,R$4)</f>
        <v>0</v>
      </c>
      <c r="S108" s="13" t="n">
        <f aca="false">SUMIFS(BD_REVIT!$H:$H,BD_REVIT!$C:$C,$A108,BD_REVIT!$F:$F,S$4)</f>
        <v>0</v>
      </c>
      <c r="T108" s="13" t="n">
        <f aca="false">SUMIFS(BD_REVIT!$H:$H,BD_REVIT!$C:$C,$A108,BD_REVIT!$F:$F,T$4)</f>
        <v>0</v>
      </c>
      <c r="U108" s="13" t="n">
        <f aca="false">SUMIFS(BD_REVIT!$H:$H,BD_REVIT!$C:$C,$A108,BD_REVIT!$F:$F,U$4)</f>
        <v>0</v>
      </c>
      <c r="V108" s="13" t="n">
        <f aca="false">SUMIFS(BD_REVIT!$H:$H,BD_REVIT!$C:$C,$A108,BD_REVIT!$F:$F,V$4)</f>
        <v>0</v>
      </c>
      <c r="W108" s="13" t="n">
        <f aca="false">SUMIFS(BD_REVIT!$H:$H,BD_REVIT!$C:$C,$A108,BD_REVIT!$F:$F,W$4)</f>
        <v>2</v>
      </c>
      <c r="X108" s="13" t="n">
        <f aca="false">SUMIFS(BD_REVIT!$H:$H,BD_REVIT!$C:$C,$A108,BD_REVIT!$F:$F,X$4)</f>
        <v>0</v>
      </c>
      <c r="Y108" s="13" t="n">
        <f aca="false">SUMIFS(BD_REVIT!$H:$H,BD_REVIT!$C:$C,$A108,BD_REVIT!$F:$F,Y$4)</f>
        <v>0</v>
      </c>
      <c r="Z108" s="52" t="n">
        <f aca="false">SUM(D108:Y108)</f>
        <v>2</v>
      </c>
      <c r="AA108" s="13" t="n">
        <f aca="false">NIVEL!D500</f>
        <v>2</v>
      </c>
      <c r="AB108" s="13" t="n">
        <f aca="false">ROUND(Z108-AA108,2)</f>
        <v>0</v>
      </c>
    </row>
    <row r="109" customFormat="false" ht="15" hidden="false" customHeight="false" outlineLevel="0" collapsed="false">
      <c r="A109" s="10" t="s">
        <v>895</v>
      </c>
      <c r="B109" s="51" t="s">
        <v>896</v>
      </c>
      <c r="C109" s="10" t="s">
        <v>61</v>
      </c>
      <c r="D109" s="13" t="n">
        <f aca="false">SUMIFS(BD_REVIT!$H:$H,BD_REVIT!$C:$C,$A109,BD_REVIT!$F:$F,D$4)</f>
        <v>0</v>
      </c>
      <c r="E109" s="13" t="n">
        <f aca="false">SUMIFS(BD_REVIT!$H:$H,BD_REVIT!$C:$C,$A109,BD_REVIT!$F:$F,E$4)</f>
        <v>0</v>
      </c>
      <c r="F109" s="13" t="n">
        <f aca="false">SUMIFS(BD_REVIT!$H:$H,BD_REVIT!$C:$C,$A109,BD_REVIT!$F:$F,F$4)</f>
        <v>0</v>
      </c>
      <c r="G109" s="13" t="n">
        <f aca="false">SUMIFS(BD_REVIT!$H:$H,BD_REVIT!$C:$C,$A109,BD_REVIT!$F:$F,G$4)</f>
        <v>0</v>
      </c>
      <c r="H109" s="13" t="n">
        <f aca="false">SUMIFS(BD_REVIT!$H:$H,BD_REVIT!$C:$C,$A109,BD_REVIT!$F:$F,H$4)</f>
        <v>0</v>
      </c>
      <c r="I109" s="13" t="n">
        <f aca="false">SUMIFS(BD_REVIT!$H:$H,BD_REVIT!$C:$C,$A109,BD_REVIT!$F:$F,I$4)</f>
        <v>0</v>
      </c>
      <c r="J109" s="13" t="n">
        <f aca="false">SUMIFS(BD_REVIT!$H:$H,BD_REVIT!$C:$C,$A109,BD_REVIT!$F:$F,J$4)</f>
        <v>0</v>
      </c>
      <c r="K109" s="13" t="n">
        <f aca="false">SUMIFS(BD_REVIT!$H:$H,BD_REVIT!$C:$C,$A109,BD_REVIT!$F:$F,K$4)</f>
        <v>0</v>
      </c>
      <c r="L109" s="13" t="n">
        <f aca="false">SUMIFS(BD_REVIT!$H:$H,BD_REVIT!$C:$C,$A109,BD_REVIT!$F:$F,L$4)</f>
        <v>0</v>
      </c>
      <c r="M109" s="13" t="n">
        <f aca="false">SUMIFS(BD_REVIT!$H:$H,BD_REVIT!$C:$C,$A109,BD_REVIT!$F:$F,M$4)</f>
        <v>0</v>
      </c>
      <c r="N109" s="13" t="n">
        <f aca="false">SUMIFS(BD_REVIT!$H:$H,BD_REVIT!$C:$C,$A109,BD_REVIT!$F:$F,N$4)</f>
        <v>0</v>
      </c>
      <c r="O109" s="13" t="n">
        <f aca="false">SUMIFS(BD_REVIT!$H:$H,BD_REVIT!$C:$C,$A109,BD_REVIT!$F:$F,O$4)</f>
        <v>0</v>
      </c>
      <c r="P109" s="13" t="n">
        <f aca="false">SUMIFS(BD_REVIT!$H:$H,BD_REVIT!$C:$C,$A109,BD_REVIT!$F:$F,P$4)</f>
        <v>0</v>
      </c>
      <c r="Q109" s="13" t="n">
        <f aca="false">SUMIFS(BD_REVIT!$H:$H,BD_REVIT!$C:$C,$A109,BD_REVIT!$F:$F,Q$4)</f>
        <v>0</v>
      </c>
      <c r="R109" s="13" t="n">
        <f aca="false">SUMIFS(BD_REVIT!$H:$H,BD_REVIT!$C:$C,$A109,BD_REVIT!$F:$F,R$4)</f>
        <v>0</v>
      </c>
      <c r="S109" s="13" t="n">
        <f aca="false">SUMIFS(BD_REVIT!$H:$H,BD_REVIT!$C:$C,$A109,BD_REVIT!$F:$F,S$4)</f>
        <v>0</v>
      </c>
      <c r="T109" s="13" t="n">
        <f aca="false">SUMIFS(BD_REVIT!$H:$H,BD_REVIT!$C:$C,$A109,BD_REVIT!$F:$F,T$4)</f>
        <v>0</v>
      </c>
      <c r="U109" s="13" t="n">
        <f aca="false">SUMIFS(BD_REVIT!$H:$H,BD_REVIT!$C:$C,$A109,BD_REVIT!$F:$F,U$4)</f>
        <v>0</v>
      </c>
      <c r="V109" s="13" t="n">
        <f aca="false">SUMIFS(BD_REVIT!$H:$H,BD_REVIT!$C:$C,$A109,BD_REVIT!$F:$F,V$4)</f>
        <v>0</v>
      </c>
      <c r="W109" s="13" t="n">
        <f aca="false">SUMIFS(BD_REVIT!$H:$H,BD_REVIT!$C:$C,$A109,BD_REVIT!$F:$F,W$4)</f>
        <v>0</v>
      </c>
      <c r="X109" s="13" t="n">
        <f aca="false">SUMIFS(BD_REVIT!$H:$H,BD_REVIT!$C:$C,$A109,BD_REVIT!$F:$F,X$4)</f>
        <v>0</v>
      </c>
      <c r="Y109" s="13" t="n">
        <f aca="false">SUMIFS(BD_REVIT!$H:$H,BD_REVIT!$C:$C,$A109,BD_REVIT!$F:$F,Y$4)</f>
        <v>0</v>
      </c>
      <c r="Z109" s="52" t="n">
        <f aca="false">SUM(D109:Y109)</f>
        <v>0</v>
      </c>
      <c r="AA109" s="13" t="n">
        <f aca="false">NIVEL!D501</f>
        <v>0</v>
      </c>
      <c r="AB109" s="13" t="n">
        <f aca="false">ROUND(Z109-AA109,2)</f>
        <v>0</v>
      </c>
    </row>
    <row r="110" customFormat="false" ht="15" hidden="false" customHeight="false" outlineLevel="0" collapsed="false">
      <c r="A110" s="10" t="s">
        <v>897</v>
      </c>
      <c r="B110" s="51" t="s">
        <v>898</v>
      </c>
      <c r="C110" s="10" t="s">
        <v>61</v>
      </c>
      <c r="D110" s="13" t="n">
        <f aca="false">SUMIFS(BD_REVIT!$H:$H,BD_REVIT!$C:$C,$A110,BD_REVIT!$F:$F,D$4)</f>
        <v>0</v>
      </c>
      <c r="E110" s="13" t="n">
        <f aca="false">SUMIFS(BD_REVIT!$H:$H,BD_REVIT!$C:$C,$A110,BD_REVIT!$F:$F,E$4)</f>
        <v>0</v>
      </c>
      <c r="F110" s="13" t="n">
        <f aca="false">SUMIFS(BD_REVIT!$H:$H,BD_REVIT!$C:$C,$A110,BD_REVIT!$F:$F,F$4)</f>
        <v>0</v>
      </c>
      <c r="G110" s="13" t="n">
        <f aca="false">SUMIFS(BD_REVIT!$H:$H,BD_REVIT!$C:$C,$A110,BD_REVIT!$F:$F,G$4)</f>
        <v>0</v>
      </c>
      <c r="H110" s="13" t="n">
        <f aca="false">SUMIFS(BD_REVIT!$H:$H,BD_REVIT!$C:$C,$A110,BD_REVIT!$F:$F,H$4)</f>
        <v>0</v>
      </c>
      <c r="I110" s="13" t="n">
        <f aca="false">SUMIFS(BD_REVIT!$H:$H,BD_REVIT!$C:$C,$A110,BD_REVIT!$F:$F,I$4)</f>
        <v>0</v>
      </c>
      <c r="J110" s="13" t="n">
        <f aca="false">SUMIFS(BD_REVIT!$H:$H,BD_REVIT!$C:$C,$A110,BD_REVIT!$F:$F,J$4)</f>
        <v>0</v>
      </c>
      <c r="K110" s="13" t="n">
        <f aca="false">SUMIFS(BD_REVIT!$H:$H,BD_REVIT!$C:$C,$A110,BD_REVIT!$F:$F,K$4)</f>
        <v>0</v>
      </c>
      <c r="L110" s="13" t="n">
        <f aca="false">SUMIFS(BD_REVIT!$H:$H,BD_REVIT!$C:$C,$A110,BD_REVIT!$F:$F,L$4)</f>
        <v>0</v>
      </c>
      <c r="M110" s="13" t="n">
        <f aca="false">SUMIFS(BD_REVIT!$H:$H,BD_REVIT!$C:$C,$A110,BD_REVIT!$F:$F,M$4)</f>
        <v>0</v>
      </c>
      <c r="N110" s="13" t="n">
        <f aca="false">SUMIFS(BD_REVIT!$H:$H,BD_REVIT!$C:$C,$A110,BD_REVIT!$F:$F,N$4)</f>
        <v>0</v>
      </c>
      <c r="O110" s="13" t="n">
        <f aca="false">SUMIFS(BD_REVIT!$H:$H,BD_REVIT!$C:$C,$A110,BD_REVIT!$F:$F,O$4)</f>
        <v>0</v>
      </c>
      <c r="P110" s="13" t="n">
        <f aca="false">SUMIFS(BD_REVIT!$H:$H,BD_REVIT!$C:$C,$A110,BD_REVIT!$F:$F,P$4)</f>
        <v>0</v>
      </c>
      <c r="Q110" s="13" t="n">
        <f aca="false">SUMIFS(BD_REVIT!$H:$H,BD_REVIT!$C:$C,$A110,BD_REVIT!$F:$F,Q$4)</f>
        <v>0</v>
      </c>
      <c r="R110" s="13" t="n">
        <f aca="false">SUMIFS(BD_REVIT!$H:$H,BD_REVIT!$C:$C,$A110,BD_REVIT!$F:$F,R$4)</f>
        <v>0</v>
      </c>
      <c r="S110" s="13" t="n">
        <f aca="false">SUMIFS(BD_REVIT!$H:$H,BD_REVIT!$C:$C,$A110,BD_REVIT!$F:$F,S$4)</f>
        <v>0</v>
      </c>
      <c r="T110" s="13" t="n">
        <f aca="false">SUMIFS(BD_REVIT!$H:$H,BD_REVIT!$C:$C,$A110,BD_REVIT!$F:$F,T$4)</f>
        <v>0</v>
      </c>
      <c r="U110" s="13" t="n">
        <f aca="false">SUMIFS(BD_REVIT!$H:$H,BD_REVIT!$C:$C,$A110,BD_REVIT!$F:$F,U$4)</f>
        <v>0</v>
      </c>
      <c r="V110" s="13" t="n">
        <f aca="false">SUMIFS(BD_REVIT!$H:$H,BD_REVIT!$C:$C,$A110,BD_REVIT!$F:$F,V$4)</f>
        <v>0</v>
      </c>
      <c r="W110" s="13" t="n">
        <f aca="false">SUMIFS(BD_REVIT!$H:$H,BD_REVIT!$C:$C,$A110,BD_REVIT!$F:$F,W$4)</f>
        <v>0</v>
      </c>
      <c r="X110" s="13" t="n">
        <f aca="false">SUMIFS(BD_REVIT!$H:$H,BD_REVIT!$C:$C,$A110,BD_REVIT!$F:$F,X$4)</f>
        <v>0</v>
      </c>
      <c r="Y110" s="13" t="n">
        <f aca="false">SUMIFS(BD_REVIT!$H:$H,BD_REVIT!$C:$C,$A110,BD_REVIT!$F:$F,Y$4)</f>
        <v>0</v>
      </c>
      <c r="Z110" s="52" t="n">
        <f aca="false">SUM(D110:Y110)</f>
        <v>0</v>
      </c>
      <c r="AA110" s="13" t="n">
        <f aca="false">NIVEL!D502</f>
        <v>0</v>
      </c>
      <c r="AB110" s="13" t="n">
        <f aca="false">ROUND(Z110-AA110,2)</f>
        <v>0</v>
      </c>
    </row>
    <row r="111" customFormat="false" ht="15" hidden="false" customHeight="false" outlineLevel="0" collapsed="false">
      <c r="A111" s="10" t="s">
        <v>899</v>
      </c>
      <c r="B111" s="51" t="s">
        <v>900</v>
      </c>
      <c r="C111" s="10" t="s">
        <v>61</v>
      </c>
      <c r="D111" s="13" t="n">
        <f aca="false">SUMIFS(BD_REVIT!$H:$H,BD_REVIT!$C:$C,$A111,BD_REVIT!$F:$F,D$4)</f>
        <v>0</v>
      </c>
      <c r="E111" s="13" t="n">
        <f aca="false">SUMIFS(BD_REVIT!$H:$H,BD_REVIT!$C:$C,$A111,BD_REVIT!$F:$F,E$4)</f>
        <v>0</v>
      </c>
      <c r="F111" s="13" t="n">
        <f aca="false">SUMIFS(BD_REVIT!$H:$H,BD_REVIT!$C:$C,$A111,BD_REVIT!$F:$F,F$4)</f>
        <v>0</v>
      </c>
      <c r="G111" s="13" t="n">
        <f aca="false">SUMIFS(BD_REVIT!$H:$H,BD_REVIT!$C:$C,$A111,BD_REVIT!$F:$F,G$4)</f>
        <v>0</v>
      </c>
      <c r="H111" s="13" t="n">
        <f aca="false">SUMIFS(BD_REVIT!$H:$H,BD_REVIT!$C:$C,$A111,BD_REVIT!$F:$F,H$4)</f>
        <v>0</v>
      </c>
      <c r="I111" s="13" t="n">
        <f aca="false">SUMIFS(BD_REVIT!$H:$H,BD_REVIT!$C:$C,$A111,BD_REVIT!$F:$F,I$4)</f>
        <v>0</v>
      </c>
      <c r="J111" s="13" t="n">
        <f aca="false">SUMIFS(BD_REVIT!$H:$H,BD_REVIT!$C:$C,$A111,BD_REVIT!$F:$F,J$4)</f>
        <v>0</v>
      </c>
      <c r="K111" s="13" t="n">
        <f aca="false">SUMIFS(BD_REVIT!$H:$H,BD_REVIT!$C:$C,$A111,BD_REVIT!$F:$F,K$4)</f>
        <v>0</v>
      </c>
      <c r="L111" s="13" t="n">
        <f aca="false">SUMIFS(BD_REVIT!$H:$H,BD_REVIT!$C:$C,$A111,BD_REVIT!$F:$F,L$4)</f>
        <v>0</v>
      </c>
      <c r="M111" s="13" t="n">
        <f aca="false">SUMIFS(BD_REVIT!$H:$H,BD_REVIT!$C:$C,$A111,BD_REVIT!$F:$F,M$4)</f>
        <v>0</v>
      </c>
      <c r="N111" s="13" t="n">
        <f aca="false">SUMIFS(BD_REVIT!$H:$H,BD_REVIT!$C:$C,$A111,BD_REVIT!$F:$F,N$4)</f>
        <v>0</v>
      </c>
      <c r="O111" s="13" t="n">
        <f aca="false">SUMIFS(BD_REVIT!$H:$H,BD_REVIT!$C:$C,$A111,BD_REVIT!$F:$F,O$4)</f>
        <v>0</v>
      </c>
      <c r="P111" s="13" t="n">
        <f aca="false">SUMIFS(BD_REVIT!$H:$H,BD_REVIT!$C:$C,$A111,BD_REVIT!$F:$F,P$4)</f>
        <v>0</v>
      </c>
      <c r="Q111" s="13" t="n">
        <f aca="false">SUMIFS(BD_REVIT!$H:$H,BD_REVIT!$C:$C,$A111,BD_REVIT!$F:$F,Q$4)</f>
        <v>0</v>
      </c>
      <c r="R111" s="13" t="n">
        <f aca="false">SUMIFS(BD_REVIT!$H:$H,BD_REVIT!$C:$C,$A111,BD_REVIT!$F:$F,R$4)</f>
        <v>0</v>
      </c>
      <c r="S111" s="13" t="n">
        <f aca="false">SUMIFS(BD_REVIT!$H:$H,BD_REVIT!$C:$C,$A111,BD_REVIT!$F:$F,S$4)</f>
        <v>0</v>
      </c>
      <c r="T111" s="13" t="n">
        <f aca="false">SUMIFS(BD_REVIT!$H:$H,BD_REVIT!$C:$C,$A111,BD_REVIT!$F:$F,T$4)</f>
        <v>0</v>
      </c>
      <c r="U111" s="13" t="n">
        <f aca="false">SUMIFS(BD_REVIT!$H:$H,BD_REVIT!$C:$C,$A111,BD_REVIT!$F:$F,U$4)</f>
        <v>0</v>
      </c>
      <c r="V111" s="13" t="n">
        <f aca="false">SUMIFS(BD_REVIT!$H:$H,BD_REVIT!$C:$C,$A111,BD_REVIT!$F:$F,V$4)</f>
        <v>0</v>
      </c>
      <c r="W111" s="13" t="n">
        <f aca="false">SUMIFS(BD_REVIT!$H:$H,BD_REVIT!$C:$C,$A111,BD_REVIT!$F:$F,W$4)</f>
        <v>0</v>
      </c>
      <c r="X111" s="13" t="n">
        <f aca="false">SUMIFS(BD_REVIT!$H:$H,BD_REVIT!$C:$C,$A111,BD_REVIT!$F:$F,X$4)</f>
        <v>0</v>
      </c>
      <c r="Y111" s="13" t="n">
        <f aca="false">SUMIFS(BD_REVIT!$H:$H,BD_REVIT!$C:$C,$A111,BD_REVIT!$F:$F,Y$4)</f>
        <v>0</v>
      </c>
      <c r="Z111" s="52" t="n">
        <f aca="false">SUM(D111:Y111)</f>
        <v>0</v>
      </c>
      <c r="AA111" s="13" t="n">
        <f aca="false">NIVEL!D503</f>
        <v>0</v>
      </c>
      <c r="AB111" s="13" t="n">
        <f aca="false">ROUND(Z111-AA111,2)</f>
        <v>0</v>
      </c>
    </row>
    <row r="112" customFormat="false" ht="15" hidden="false" customHeight="false" outlineLevel="0" collapsed="false">
      <c r="A112" s="10" t="s">
        <v>901</v>
      </c>
      <c r="B112" s="51" t="s">
        <v>902</v>
      </c>
      <c r="C112" s="10" t="s">
        <v>61</v>
      </c>
      <c r="D112" s="13" t="n">
        <f aca="false">SUMIFS(BD_REVIT!$H:$H,BD_REVIT!$C:$C,$A112,BD_REVIT!$F:$F,D$4)</f>
        <v>0</v>
      </c>
      <c r="E112" s="13" t="n">
        <f aca="false">SUMIFS(BD_REVIT!$H:$H,BD_REVIT!$C:$C,$A112,BD_REVIT!$F:$F,E$4)</f>
        <v>0</v>
      </c>
      <c r="F112" s="13" t="n">
        <f aca="false">SUMIFS(BD_REVIT!$H:$H,BD_REVIT!$C:$C,$A112,BD_REVIT!$F:$F,F$4)</f>
        <v>0</v>
      </c>
      <c r="G112" s="13" t="n">
        <f aca="false">SUMIFS(BD_REVIT!$H:$H,BD_REVIT!$C:$C,$A112,BD_REVIT!$F:$F,G$4)</f>
        <v>0</v>
      </c>
      <c r="H112" s="13" t="n">
        <f aca="false">SUMIFS(BD_REVIT!$H:$H,BD_REVIT!$C:$C,$A112,BD_REVIT!$F:$F,H$4)</f>
        <v>0</v>
      </c>
      <c r="I112" s="13" t="n">
        <f aca="false">SUMIFS(BD_REVIT!$H:$H,BD_REVIT!$C:$C,$A112,BD_REVIT!$F:$F,I$4)</f>
        <v>0</v>
      </c>
      <c r="J112" s="13" t="n">
        <f aca="false">SUMIFS(BD_REVIT!$H:$H,BD_REVIT!$C:$C,$A112,BD_REVIT!$F:$F,J$4)</f>
        <v>0</v>
      </c>
      <c r="K112" s="13" t="n">
        <f aca="false">SUMIFS(BD_REVIT!$H:$H,BD_REVIT!$C:$C,$A112,BD_REVIT!$F:$F,K$4)</f>
        <v>0</v>
      </c>
      <c r="L112" s="13" t="n">
        <f aca="false">SUMIFS(BD_REVIT!$H:$H,BD_REVIT!$C:$C,$A112,BD_REVIT!$F:$F,L$4)</f>
        <v>0</v>
      </c>
      <c r="M112" s="13" t="n">
        <f aca="false">SUMIFS(BD_REVIT!$H:$H,BD_REVIT!$C:$C,$A112,BD_REVIT!$F:$F,M$4)</f>
        <v>0</v>
      </c>
      <c r="N112" s="13" t="n">
        <f aca="false">SUMIFS(BD_REVIT!$H:$H,BD_REVIT!$C:$C,$A112,BD_REVIT!$F:$F,N$4)</f>
        <v>0</v>
      </c>
      <c r="O112" s="13" t="n">
        <f aca="false">SUMIFS(BD_REVIT!$H:$H,BD_REVIT!$C:$C,$A112,BD_REVIT!$F:$F,O$4)</f>
        <v>0</v>
      </c>
      <c r="P112" s="13" t="n">
        <f aca="false">SUMIFS(BD_REVIT!$H:$H,BD_REVIT!$C:$C,$A112,BD_REVIT!$F:$F,P$4)</f>
        <v>0</v>
      </c>
      <c r="Q112" s="13" t="n">
        <f aca="false">SUMIFS(BD_REVIT!$H:$H,BD_REVIT!$C:$C,$A112,BD_REVIT!$F:$F,Q$4)</f>
        <v>0</v>
      </c>
      <c r="R112" s="13" t="n">
        <f aca="false">SUMIFS(BD_REVIT!$H:$H,BD_REVIT!$C:$C,$A112,BD_REVIT!$F:$F,R$4)</f>
        <v>0</v>
      </c>
      <c r="S112" s="13" t="n">
        <f aca="false">SUMIFS(BD_REVIT!$H:$H,BD_REVIT!$C:$C,$A112,BD_REVIT!$F:$F,S$4)</f>
        <v>0</v>
      </c>
      <c r="T112" s="13" t="n">
        <f aca="false">SUMIFS(BD_REVIT!$H:$H,BD_REVIT!$C:$C,$A112,BD_REVIT!$F:$F,T$4)</f>
        <v>0</v>
      </c>
      <c r="U112" s="13" t="n">
        <f aca="false">SUMIFS(BD_REVIT!$H:$H,BD_REVIT!$C:$C,$A112,BD_REVIT!$F:$F,U$4)</f>
        <v>0</v>
      </c>
      <c r="V112" s="13" t="n">
        <f aca="false">SUMIFS(BD_REVIT!$H:$H,BD_REVIT!$C:$C,$A112,BD_REVIT!$F:$F,V$4)</f>
        <v>0</v>
      </c>
      <c r="W112" s="13" t="n">
        <f aca="false">SUMIFS(BD_REVIT!$H:$H,BD_REVIT!$C:$C,$A112,BD_REVIT!$F:$F,W$4)</f>
        <v>0</v>
      </c>
      <c r="X112" s="13" t="n">
        <f aca="false">SUMIFS(BD_REVIT!$H:$H,BD_REVIT!$C:$C,$A112,BD_REVIT!$F:$F,X$4)</f>
        <v>0</v>
      </c>
      <c r="Y112" s="13" t="n">
        <f aca="false">SUMIFS(BD_REVIT!$H:$H,BD_REVIT!$C:$C,$A112,BD_REVIT!$F:$F,Y$4)</f>
        <v>0</v>
      </c>
      <c r="Z112" s="52" t="n">
        <f aca="false">SUM(D112:Y112)</f>
        <v>0</v>
      </c>
      <c r="AA112" s="13" t="n">
        <f aca="false">NIVEL!D504</f>
        <v>0</v>
      </c>
      <c r="AB112" s="13" t="n">
        <f aca="false">ROUND(Z112-AA112,2)</f>
        <v>0</v>
      </c>
    </row>
    <row r="113" customFormat="false" ht="15" hidden="false" customHeight="false" outlineLevel="0" collapsed="false">
      <c r="A113" s="10" t="s">
        <v>903</v>
      </c>
      <c r="B113" s="51" t="s">
        <v>904</v>
      </c>
      <c r="C113" s="10" t="s">
        <v>61</v>
      </c>
      <c r="D113" s="13" t="n">
        <f aca="false">SUMIFS(BD_REVIT!$H:$H,BD_REVIT!$C:$C,$A113,BD_REVIT!$F:$F,D$4)</f>
        <v>0</v>
      </c>
      <c r="E113" s="13" t="n">
        <f aca="false">SUMIFS(BD_REVIT!$H:$H,BD_REVIT!$C:$C,$A113,BD_REVIT!$F:$F,E$4)</f>
        <v>0</v>
      </c>
      <c r="F113" s="13" t="n">
        <f aca="false">SUMIFS(BD_REVIT!$H:$H,BD_REVIT!$C:$C,$A113,BD_REVIT!$F:$F,F$4)</f>
        <v>0</v>
      </c>
      <c r="G113" s="13" t="n">
        <f aca="false">SUMIFS(BD_REVIT!$H:$H,BD_REVIT!$C:$C,$A113,BD_REVIT!$F:$F,G$4)</f>
        <v>0</v>
      </c>
      <c r="H113" s="13" t="n">
        <f aca="false">SUMIFS(BD_REVIT!$H:$H,BD_REVIT!$C:$C,$A113,BD_REVIT!$F:$F,H$4)</f>
        <v>0</v>
      </c>
      <c r="I113" s="13" t="n">
        <f aca="false">SUMIFS(BD_REVIT!$H:$H,BD_REVIT!$C:$C,$A113,BD_REVIT!$F:$F,I$4)</f>
        <v>0</v>
      </c>
      <c r="J113" s="13" t="n">
        <f aca="false">SUMIFS(BD_REVIT!$H:$H,BD_REVIT!$C:$C,$A113,BD_REVIT!$F:$F,J$4)</f>
        <v>0</v>
      </c>
      <c r="K113" s="13" t="n">
        <f aca="false">SUMIFS(BD_REVIT!$H:$H,BD_REVIT!$C:$C,$A113,BD_REVIT!$F:$F,K$4)</f>
        <v>0</v>
      </c>
      <c r="L113" s="13" t="n">
        <f aca="false">SUMIFS(BD_REVIT!$H:$H,BD_REVIT!$C:$C,$A113,BD_REVIT!$F:$F,L$4)</f>
        <v>0</v>
      </c>
      <c r="M113" s="13" t="n">
        <f aca="false">SUMIFS(BD_REVIT!$H:$H,BD_REVIT!$C:$C,$A113,BD_REVIT!$F:$F,M$4)</f>
        <v>0</v>
      </c>
      <c r="N113" s="13" t="n">
        <f aca="false">SUMIFS(BD_REVIT!$H:$H,BD_REVIT!$C:$C,$A113,BD_REVIT!$F:$F,N$4)</f>
        <v>0</v>
      </c>
      <c r="O113" s="13" t="n">
        <f aca="false">SUMIFS(BD_REVIT!$H:$H,BD_REVIT!$C:$C,$A113,BD_REVIT!$F:$F,O$4)</f>
        <v>0</v>
      </c>
      <c r="P113" s="13" t="n">
        <f aca="false">SUMIFS(BD_REVIT!$H:$H,BD_REVIT!$C:$C,$A113,BD_REVIT!$F:$F,P$4)</f>
        <v>0</v>
      </c>
      <c r="Q113" s="13" t="n">
        <f aca="false">SUMIFS(BD_REVIT!$H:$H,BD_REVIT!$C:$C,$A113,BD_REVIT!$F:$F,Q$4)</f>
        <v>0</v>
      </c>
      <c r="R113" s="13" t="n">
        <f aca="false">SUMIFS(BD_REVIT!$H:$H,BD_REVIT!$C:$C,$A113,BD_REVIT!$F:$F,R$4)</f>
        <v>0</v>
      </c>
      <c r="S113" s="13" t="n">
        <f aca="false">SUMIFS(BD_REVIT!$H:$H,BD_REVIT!$C:$C,$A113,BD_REVIT!$F:$F,S$4)</f>
        <v>0</v>
      </c>
      <c r="T113" s="13" t="n">
        <f aca="false">SUMIFS(BD_REVIT!$H:$H,BD_REVIT!$C:$C,$A113,BD_REVIT!$F:$F,T$4)</f>
        <v>0</v>
      </c>
      <c r="U113" s="13" t="n">
        <f aca="false">SUMIFS(BD_REVIT!$H:$H,BD_REVIT!$C:$C,$A113,BD_REVIT!$F:$F,U$4)</f>
        <v>0</v>
      </c>
      <c r="V113" s="13" t="n">
        <f aca="false">SUMIFS(BD_REVIT!$H:$H,BD_REVIT!$C:$C,$A113,BD_REVIT!$F:$F,V$4)</f>
        <v>0</v>
      </c>
      <c r="W113" s="13" t="n">
        <f aca="false">SUMIFS(BD_REVIT!$H:$H,BD_REVIT!$C:$C,$A113,BD_REVIT!$F:$F,W$4)</f>
        <v>0</v>
      </c>
      <c r="X113" s="13" t="n">
        <f aca="false">SUMIFS(BD_REVIT!$H:$H,BD_REVIT!$C:$C,$A113,BD_REVIT!$F:$F,X$4)</f>
        <v>0</v>
      </c>
      <c r="Y113" s="13" t="n">
        <f aca="false">SUMIFS(BD_REVIT!$H:$H,BD_REVIT!$C:$C,$A113,BD_REVIT!$F:$F,Y$4)</f>
        <v>0</v>
      </c>
      <c r="Z113" s="52" t="n">
        <f aca="false">SUM(D113:Y113)</f>
        <v>0</v>
      </c>
      <c r="AA113" s="13" t="n">
        <f aca="false">NIVEL!D505</f>
        <v>0</v>
      </c>
      <c r="AB113" s="13" t="n">
        <f aca="false">ROUND(Z113-AA113,2)</f>
        <v>0</v>
      </c>
    </row>
    <row r="114" customFormat="false" ht="15" hidden="false" customHeight="false" outlineLevel="0" collapsed="false">
      <c r="A114" s="10" t="s">
        <v>906</v>
      </c>
      <c r="B114" s="51" t="s">
        <v>907</v>
      </c>
      <c r="C114" s="10" t="s">
        <v>75</v>
      </c>
      <c r="D114" s="13" t="n">
        <f aca="false">SUMIFS(BD_REVIT!$H:$H,BD_REVIT!$C:$C,$A114,BD_REVIT!$F:$F,D$4)</f>
        <v>0</v>
      </c>
      <c r="E114" s="13" t="n">
        <f aca="false">SUMIFS(BD_REVIT!$H:$H,BD_REVIT!$C:$C,$A114,BD_REVIT!$F:$F,E$4)</f>
        <v>0</v>
      </c>
      <c r="F114" s="13" t="n">
        <f aca="false">SUMIFS(BD_REVIT!$H:$H,BD_REVIT!$C:$C,$A114,BD_REVIT!$F:$F,F$4)</f>
        <v>0</v>
      </c>
      <c r="G114" s="13" t="n">
        <f aca="false">SUMIFS(BD_REVIT!$H:$H,BD_REVIT!$C:$C,$A114,BD_REVIT!$F:$F,G$4)</f>
        <v>0</v>
      </c>
      <c r="H114" s="13" t="n">
        <f aca="false">SUMIFS(BD_REVIT!$H:$H,BD_REVIT!$C:$C,$A114,BD_REVIT!$F:$F,H$4)</f>
        <v>0</v>
      </c>
      <c r="I114" s="13" t="n">
        <f aca="false">SUMIFS(BD_REVIT!$H:$H,BD_REVIT!$C:$C,$A114,BD_REVIT!$F:$F,I$4)</f>
        <v>0</v>
      </c>
      <c r="J114" s="13" t="n">
        <f aca="false">SUMIFS(BD_REVIT!$H:$H,BD_REVIT!$C:$C,$A114,BD_REVIT!$F:$F,J$4)</f>
        <v>0</v>
      </c>
      <c r="K114" s="13" t="n">
        <f aca="false">SUMIFS(BD_REVIT!$H:$H,BD_REVIT!$C:$C,$A114,BD_REVIT!$F:$F,K$4)</f>
        <v>0</v>
      </c>
      <c r="L114" s="13" t="n">
        <f aca="false">SUMIFS(BD_REVIT!$H:$H,BD_REVIT!$C:$C,$A114,BD_REVIT!$F:$F,L$4)</f>
        <v>0</v>
      </c>
      <c r="M114" s="13" t="n">
        <f aca="false">SUMIFS(BD_REVIT!$H:$H,BD_REVIT!$C:$C,$A114,BD_REVIT!$F:$F,M$4)</f>
        <v>0</v>
      </c>
      <c r="N114" s="13" t="n">
        <f aca="false">SUMIFS(BD_REVIT!$H:$H,BD_REVIT!$C:$C,$A114,BD_REVIT!$F:$F,N$4)</f>
        <v>0</v>
      </c>
      <c r="O114" s="13" t="n">
        <f aca="false">SUMIFS(BD_REVIT!$H:$H,BD_REVIT!$C:$C,$A114,BD_REVIT!$F:$F,O$4)</f>
        <v>0</v>
      </c>
      <c r="P114" s="13" t="n">
        <f aca="false">SUMIFS(BD_REVIT!$H:$H,BD_REVIT!$C:$C,$A114,BD_REVIT!$F:$F,P$4)</f>
        <v>0</v>
      </c>
      <c r="Q114" s="13" t="n">
        <f aca="false">SUMIFS(BD_REVIT!$H:$H,BD_REVIT!$C:$C,$A114,BD_REVIT!$F:$F,Q$4)</f>
        <v>0</v>
      </c>
      <c r="R114" s="13" t="n">
        <f aca="false">SUMIFS(BD_REVIT!$H:$H,BD_REVIT!$C:$C,$A114,BD_REVIT!$F:$F,R$4)</f>
        <v>0</v>
      </c>
      <c r="S114" s="13" t="n">
        <f aca="false">SUMIFS(BD_REVIT!$H:$H,BD_REVIT!$C:$C,$A114,BD_REVIT!$F:$F,S$4)</f>
        <v>0</v>
      </c>
      <c r="T114" s="13" t="n">
        <f aca="false">SUMIFS(BD_REVIT!$H:$H,BD_REVIT!$C:$C,$A114,BD_REVIT!$F:$F,T$4)</f>
        <v>0</v>
      </c>
      <c r="U114" s="13" t="n">
        <f aca="false">SUMIFS(BD_REVIT!$H:$H,BD_REVIT!$C:$C,$A114,BD_REVIT!$F:$F,U$4)</f>
        <v>0</v>
      </c>
      <c r="V114" s="13" t="n">
        <f aca="false">SUMIFS(BD_REVIT!$H:$H,BD_REVIT!$C:$C,$A114,BD_REVIT!$F:$F,V$4)</f>
        <v>0</v>
      </c>
      <c r="W114" s="13" t="n">
        <f aca="false">SUMIFS(BD_REVIT!$H:$H,BD_REVIT!$C:$C,$A114,BD_REVIT!$F:$F,W$4)</f>
        <v>0</v>
      </c>
      <c r="X114" s="13" t="n">
        <f aca="false">SUMIFS(BD_REVIT!$H:$H,BD_REVIT!$C:$C,$A114,BD_REVIT!$F:$F,X$4)</f>
        <v>0</v>
      </c>
      <c r="Y114" s="13" t="n">
        <f aca="false">SUMIFS(BD_REVIT!$H:$H,BD_REVIT!$C:$C,$A114,BD_REVIT!$F:$F,Y$4)</f>
        <v>0</v>
      </c>
      <c r="Z114" s="52" t="n">
        <f aca="false">SUM(D114:Y114)</f>
        <v>0</v>
      </c>
      <c r="AA114" s="13" t="n">
        <f aca="false">NIVEL!D507</f>
        <v>0</v>
      </c>
      <c r="AB114" s="13" t="n">
        <f aca="false">ROUND(Z114-AA114,2)</f>
        <v>0</v>
      </c>
    </row>
    <row r="115" customFormat="false" ht="15" hidden="false" customHeight="false" outlineLevel="0" collapsed="false">
      <c r="A115" s="10" t="s">
        <v>908</v>
      </c>
      <c r="B115" s="51" t="s">
        <v>909</v>
      </c>
      <c r="C115" s="10" t="s">
        <v>61</v>
      </c>
      <c r="D115" s="13" t="n">
        <f aca="false">SUMIFS(BD_REVIT!$H:$H,BD_REVIT!$C:$C,$A115,BD_REVIT!$F:$F,D$4)</f>
        <v>0</v>
      </c>
      <c r="E115" s="13" t="n">
        <f aca="false">SUMIFS(BD_REVIT!$H:$H,BD_REVIT!$C:$C,$A115,BD_REVIT!$F:$F,E$4)</f>
        <v>0</v>
      </c>
      <c r="F115" s="13" t="n">
        <f aca="false">SUMIFS(BD_REVIT!$H:$H,BD_REVIT!$C:$C,$A115,BD_REVIT!$F:$F,F$4)</f>
        <v>0</v>
      </c>
      <c r="G115" s="13" t="n">
        <f aca="false">SUMIFS(BD_REVIT!$H:$H,BD_REVIT!$C:$C,$A115,BD_REVIT!$F:$F,G$4)</f>
        <v>0</v>
      </c>
      <c r="H115" s="13" t="n">
        <f aca="false">SUMIFS(BD_REVIT!$H:$H,BD_REVIT!$C:$C,$A115,BD_REVIT!$F:$F,H$4)</f>
        <v>0</v>
      </c>
      <c r="I115" s="13" t="n">
        <f aca="false">SUMIFS(BD_REVIT!$H:$H,BD_REVIT!$C:$C,$A115,BD_REVIT!$F:$F,I$4)</f>
        <v>0</v>
      </c>
      <c r="J115" s="13" t="n">
        <f aca="false">SUMIFS(BD_REVIT!$H:$H,BD_REVIT!$C:$C,$A115,BD_REVIT!$F:$F,J$4)</f>
        <v>0</v>
      </c>
      <c r="K115" s="13" t="n">
        <f aca="false">SUMIFS(BD_REVIT!$H:$H,BD_REVIT!$C:$C,$A115,BD_REVIT!$F:$F,K$4)</f>
        <v>0</v>
      </c>
      <c r="L115" s="13" t="n">
        <f aca="false">SUMIFS(BD_REVIT!$H:$H,BD_REVIT!$C:$C,$A115,BD_REVIT!$F:$F,L$4)</f>
        <v>0</v>
      </c>
      <c r="M115" s="13" t="n">
        <f aca="false">SUMIFS(BD_REVIT!$H:$H,BD_REVIT!$C:$C,$A115,BD_REVIT!$F:$F,M$4)</f>
        <v>0</v>
      </c>
      <c r="N115" s="13" t="n">
        <f aca="false">SUMIFS(BD_REVIT!$H:$H,BD_REVIT!$C:$C,$A115,BD_REVIT!$F:$F,N$4)</f>
        <v>0</v>
      </c>
      <c r="O115" s="13" t="n">
        <f aca="false">SUMIFS(BD_REVIT!$H:$H,BD_REVIT!$C:$C,$A115,BD_REVIT!$F:$F,O$4)</f>
        <v>0</v>
      </c>
      <c r="P115" s="13" t="n">
        <f aca="false">SUMIFS(BD_REVIT!$H:$H,BD_REVIT!$C:$C,$A115,BD_REVIT!$F:$F,P$4)</f>
        <v>0</v>
      </c>
      <c r="Q115" s="13" t="n">
        <f aca="false">SUMIFS(BD_REVIT!$H:$H,BD_REVIT!$C:$C,$A115,BD_REVIT!$F:$F,Q$4)</f>
        <v>0</v>
      </c>
      <c r="R115" s="13" t="n">
        <f aca="false">SUMIFS(BD_REVIT!$H:$H,BD_REVIT!$C:$C,$A115,BD_REVIT!$F:$F,R$4)</f>
        <v>0</v>
      </c>
      <c r="S115" s="13" t="n">
        <f aca="false">SUMIFS(BD_REVIT!$H:$H,BD_REVIT!$C:$C,$A115,BD_REVIT!$F:$F,S$4)</f>
        <v>0</v>
      </c>
      <c r="T115" s="13" t="n">
        <f aca="false">SUMIFS(BD_REVIT!$H:$H,BD_REVIT!$C:$C,$A115,BD_REVIT!$F:$F,T$4)</f>
        <v>0</v>
      </c>
      <c r="U115" s="13" t="n">
        <f aca="false">SUMIFS(BD_REVIT!$H:$H,BD_REVIT!$C:$C,$A115,BD_REVIT!$F:$F,U$4)</f>
        <v>0</v>
      </c>
      <c r="V115" s="13" t="n">
        <f aca="false">SUMIFS(BD_REVIT!$H:$H,BD_REVIT!$C:$C,$A115,BD_REVIT!$F:$F,V$4)</f>
        <v>0</v>
      </c>
      <c r="W115" s="13" t="n">
        <f aca="false">SUMIFS(BD_REVIT!$H:$H,BD_REVIT!$C:$C,$A115,BD_REVIT!$F:$F,W$4)</f>
        <v>0</v>
      </c>
      <c r="X115" s="13" t="n">
        <f aca="false">SUMIFS(BD_REVIT!$H:$H,BD_REVIT!$C:$C,$A115,BD_REVIT!$F:$F,X$4)</f>
        <v>0</v>
      </c>
      <c r="Y115" s="13" t="n">
        <f aca="false">SUMIFS(BD_REVIT!$H:$H,BD_REVIT!$C:$C,$A115,BD_REVIT!$F:$F,Y$4)</f>
        <v>0</v>
      </c>
      <c r="Z115" s="52" t="n">
        <f aca="false">SUM(D115:Y115)</f>
        <v>0</v>
      </c>
      <c r="AA115" s="13" t="n">
        <f aca="false">NIVEL!D508</f>
        <v>0</v>
      </c>
      <c r="AB115" s="13" t="n">
        <f aca="false">ROUND(Z115-AA115,2)</f>
        <v>0</v>
      </c>
    </row>
    <row r="116" customFormat="false" ht="15" hidden="false" customHeight="false" outlineLevel="0" collapsed="false">
      <c r="A116" s="10" t="s">
        <v>910</v>
      </c>
      <c r="B116" s="51" t="s">
        <v>911</v>
      </c>
      <c r="C116" s="10" t="s">
        <v>61</v>
      </c>
      <c r="D116" s="13" t="n">
        <f aca="false">SUMIFS(BD_REVIT!$H:$H,BD_REVIT!$C:$C,$A116,BD_REVIT!$F:$F,D$4)</f>
        <v>0</v>
      </c>
      <c r="E116" s="13" t="n">
        <f aca="false">SUMIFS(BD_REVIT!$H:$H,BD_REVIT!$C:$C,$A116,BD_REVIT!$F:$F,E$4)</f>
        <v>0</v>
      </c>
      <c r="F116" s="13" t="n">
        <f aca="false">SUMIFS(BD_REVIT!$H:$H,BD_REVIT!$C:$C,$A116,BD_REVIT!$F:$F,F$4)</f>
        <v>0</v>
      </c>
      <c r="G116" s="13" t="n">
        <f aca="false">SUMIFS(BD_REVIT!$H:$H,BD_REVIT!$C:$C,$A116,BD_REVIT!$F:$F,G$4)</f>
        <v>0</v>
      </c>
      <c r="H116" s="13" t="n">
        <f aca="false">SUMIFS(BD_REVIT!$H:$H,BD_REVIT!$C:$C,$A116,BD_REVIT!$F:$F,H$4)</f>
        <v>0</v>
      </c>
      <c r="I116" s="13" t="n">
        <f aca="false">SUMIFS(BD_REVIT!$H:$H,BD_REVIT!$C:$C,$A116,BD_REVIT!$F:$F,I$4)</f>
        <v>0</v>
      </c>
      <c r="J116" s="13" t="n">
        <f aca="false">SUMIFS(BD_REVIT!$H:$H,BD_REVIT!$C:$C,$A116,BD_REVIT!$F:$F,J$4)</f>
        <v>0</v>
      </c>
      <c r="K116" s="13" t="n">
        <f aca="false">SUMIFS(BD_REVIT!$H:$H,BD_REVIT!$C:$C,$A116,BD_REVIT!$F:$F,K$4)</f>
        <v>0</v>
      </c>
      <c r="L116" s="13" t="n">
        <f aca="false">SUMIFS(BD_REVIT!$H:$H,BD_REVIT!$C:$C,$A116,BD_REVIT!$F:$F,L$4)</f>
        <v>0</v>
      </c>
      <c r="M116" s="13" t="n">
        <f aca="false">SUMIFS(BD_REVIT!$H:$H,BD_REVIT!$C:$C,$A116,BD_REVIT!$F:$F,M$4)</f>
        <v>0</v>
      </c>
      <c r="N116" s="13" t="n">
        <f aca="false">SUMIFS(BD_REVIT!$H:$H,BD_REVIT!$C:$C,$A116,BD_REVIT!$F:$F,N$4)</f>
        <v>0</v>
      </c>
      <c r="O116" s="13" t="n">
        <f aca="false">SUMIFS(BD_REVIT!$H:$H,BD_REVIT!$C:$C,$A116,BD_REVIT!$F:$F,O$4)</f>
        <v>0</v>
      </c>
      <c r="P116" s="13" t="n">
        <f aca="false">SUMIFS(BD_REVIT!$H:$H,BD_REVIT!$C:$C,$A116,BD_REVIT!$F:$F,P$4)</f>
        <v>0</v>
      </c>
      <c r="Q116" s="13" t="n">
        <f aca="false">SUMIFS(BD_REVIT!$H:$H,BD_REVIT!$C:$C,$A116,BD_REVIT!$F:$F,Q$4)</f>
        <v>0</v>
      </c>
      <c r="R116" s="13" t="n">
        <f aca="false">SUMIFS(BD_REVIT!$H:$H,BD_REVIT!$C:$C,$A116,BD_REVIT!$F:$F,R$4)</f>
        <v>0</v>
      </c>
      <c r="S116" s="13" t="n">
        <f aca="false">SUMIFS(BD_REVIT!$H:$H,BD_REVIT!$C:$C,$A116,BD_REVIT!$F:$F,S$4)</f>
        <v>0</v>
      </c>
      <c r="T116" s="13" t="n">
        <f aca="false">SUMIFS(BD_REVIT!$H:$H,BD_REVIT!$C:$C,$A116,BD_REVIT!$F:$F,T$4)</f>
        <v>0</v>
      </c>
      <c r="U116" s="13" t="n">
        <f aca="false">SUMIFS(BD_REVIT!$H:$H,BD_REVIT!$C:$C,$A116,BD_REVIT!$F:$F,U$4)</f>
        <v>0</v>
      </c>
      <c r="V116" s="13" t="n">
        <f aca="false">SUMIFS(BD_REVIT!$H:$H,BD_REVIT!$C:$C,$A116,BD_REVIT!$F:$F,V$4)</f>
        <v>0</v>
      </c>
      <c r="W116" s="13" t="n">
        <f aca="false">SUMIFS(BD_REVIT!$H:$H,BD_REVIT!$C:$C,$A116,BD_REVIT!$F:$F,W$4)</f>
        <v>0</v>
      </c>
      <c r="X116" s="13" t="n">
        <f aca="false">SUMIFS(BD_REVIT!$H:$H,BD_REVIT!$C:$C,$A116,BD_REVIT!$F:$F,X$4)</f>
        <v>0</v>
      </c>
      <c r="Y116" s="13" t="n">
        <f aca="false">SUMIFS(BD_REVIT!$H:$H,BD_REVIT!$C:$C,$A116,BD_REVIT!$F:$F,Y$4)</f>
        <v>0</v>
      </c>
      <c r="Z116" s="52" t="n">
        <f aca="false">SUM(D116:Y116)</f>
        <v>0</v>
      </c>
      <c r="AA116" s="13" t="n">
        <f aca="false">NIVEL!D509</f>
        <v>0</v>
      </c>
      <c r="AB116" s="13" t="n">
        <f aca="false">ROUND(Z116-AA116,2)</f>
        <v>0</v>
      </c>
    </row>
    <row r="117" customFormat="false" ht="15" hidden="false" customHeight="false" outlineLevel="0" collapsed="false">
      <c r="A117" s="10" t="s">
        <v>912</v>
      </c>
      <c r="B117" s="51" t="s">
        <v>772</v>
      </c>
      <c r="C117" s="10" t="s">
        <v>773</v>
      </c>
      <c r="D117" s="13" t="n">
        <f aca="false">SUMIFS(BD_REVIT!$H:$H,BD_REVIT!$C:$C,$A117,BD_REVIT!$F:$F,D$4)</f>
        <v>0</v>
      </c>
      <c r="E117" s="13" t="n">
        <f aca="false">SUMIFS(BD_REVIT!$H:$H,BD_REVIT!$C:$C,$A117,BD_REVIT!$F:$F,E$4)</f>
        <v>0</v>
      </c>
      <c r="F117" s="13" t="n">
        <f aca="false">SUMIFS(BD_REVIT!$H:$H,BD_REVIT!$C:$C,$A117,BD_REVIT!$F:$F,F$4)</f>
        <v>0</v>
      </c>
      <c r="G117" s="13" t="n">
        <f aca="false">SUMIFS(BD_REVIT!$H:$H,BD_REVIT!$C:$C,$A117,BD_REVIT!$F:$F,G$4)</f>
        <v>0</v>
      </c>
      <c r="H117" s="13" t="n">
        <f aca="false">SUMIFS(BD_REVIT!$H:$H,BD_REVIT!$C:$C,$A117,BD_REVIT!$F:$F,H$4)</f>
        <v>0</v>
      </c>
      <c r="I117" s="13" t="n">
        <f aca="false">SUMIFS(BD_REVIT!$H:$H,BD_REVIT!$C:$C,$A117,BD_REVIT!$F:$F,I$4)</f>
        <v>0</v>
      </c>
      <c r="J117" s="13" t="n">
        <f aca="false">SUMIFS(BD_REVIT!$H:$H,BD_REVIT!$C:$C,$A117,BD_REVIT!$F:$F,J$4)</f>
        <v>0</v>
      </c>
      <c r="K117" s="13" t="n">
        <f aca="false">SUMIFS(BD_REVIT!$H:$H,BD_REVIT!$C:$C,$A117,BD_REVIT!$F:$F,K$4)</f>
        <v>0</v>
      </c>
      <c r="L117" s="13" t="n">
        <f aca="false">SUMIFS(BD_REVIT!$H:$H,BD_REVIT!$C:$C,$A117,BD_REVIT!$F:$F,L$4)</f>
        <v>0</v>
      </c>
      <c r="M117" s="13" t="n">
        <f aca="false">SUMIFS(BD_REVIT!$H:$H,BD_REVIT!$C:$C,$A117,BD_REVIT!$F:$F,M$4)</f>
        <v>0</v>
      </c>
      <c r="N117" s="13" t="n">
        <f aca="false">SUMIFS(BD_REVIT!$H:$H,BD_REVIT!$C:$C,$A117,BD_REVIT!$F:$F,N$4)</f>
        <v>0</v>
      </c>
      <c r="O117" s="13" t="n">
        <f aca="false">SUMIFS(BD_REVIT!$H:$H,BD_REVIT!$C:$C,$A117,BD_REVIT!$F:$F,O$4)</f>
        <v>0</v>
      </c>
      <c r="P117" s="13" t="n">
        <f aca="false">SUMIFS(BD_REVIT!$H:$H,BD_REVIT!$C:$C,$A117,BD_REVIT!$F:$F,P$4)</f>
        <v>0</v>
      </c>
      <c r="Q117" s="13" t="n">
        <f aca="false">SUMIFS(BD_REVIT!$H:$H,BD_REVIT!$C:$C,$A117,BD_REVIT!$F:$F,Q$4)</f>
        <v>0</v>
      </c>
      <c r="R117" s="13" t="n">
        <f aca="false">SUMIFS(BD_REVIT!$H:$H,BD_REVIT!$C:$C,$A117,BD_REVIT!$F:$F,R$4)</f>
        <v>0</v>
      </c>
      <c r="S117" s="13" t="n">
        <f aca="false">SUMIFS(BD_REVIT!$H:$H,BD_REVIT!$C:$C,$A117,BD_REVIT!$F:$F,S$4)</f>
        <v>0</v>
      </c>
      <c r="T117" s="13" t="n">
        <f aca="false">SUMIFS(BD_REVIT!$H:$H,BD_REVIT!$C:$C,$A117,BD_REVIT!$F:$F,T$4)</f>
        <v>0</v>
      </c>
      <c r="U117" s="13" t="n">
        <f aca="false">SUMIFS(BD_REVIT!$H:$H,BD_REVIT!$C:$C,$A117,BD_REVIT!$F:$F,U$4)</f>
        <v>0</v>
      </c>
      <c r="V117" s="13" t="n">
        <f aca="false">SUMIFS(BD_REVIT!$H:$H,BD_REVIT!$C:$C,$A117,BD_REVIT!$F:$F,V$4)</f>
        <v>0</v>
      </c>
      <c r="W117" s="13" t="n">
        <f aca="false">SUMIFS(BD_REVIT!$H:$H,BD_REVIT!$C:$C,$A117,BD_REVIT!$F:$F,W$4)</f>
        <v>0</v>
      </c>
      <c r="X117" s="13" t="n">
        <f aca="false">SUMIFS(BD_REVIT!$H:$H,BD_REVIT!$C:$C,$A117,BD_REVIT!$F:$F,X$4)</f>
        <v>0</v>
      </c>
      <c r="Y117" s="13" t="n">
        <f aca="false">SUMIFS(BD_REVIT!$H:$H,BD_REVIT!$C:$C,$A117,BD_REVIT!$F:$F,Y$4)</f>
        <v>0</v>
      </c>
      <c r="Z117" s="52" t="n">
        <f aca="false">SUM(D117:Y117)</f>
        <v>0</v>
      </c>
      <c r="AA117" s="13" t="n">
        <f aca="false">NIVEL!D510</f>
        <v>0</v>
      </c>
      <c r="AB117" s="13" t="n">
        <f aca="false">ROUND(Z117-AA117,2)</f>
        <v>0</v>
      </c>
    </row>
    <row r="118" customFormat="false" ht="15" hidden="false" customHeight="false" outlineLevel="0" collapsed="false">
      <c r="A118" s="10" t="s">
        <v>913</v>
      </c>
      <c r="B118" s="51" t="s">
        <v>775</v>
      </c>
      <c r="C118" s="10" t="s">
        <v>773</v>
      </c>
      <c r="D118" s="13" t="n">
        <f aca="false">SUMIFS(BD_REVIT!$H:$H,BD_REVIT!$C:$C,$A118,BD_REVIT!$F:$F,D$4)</f>
        <v>0</v>
      </c>
      <c r="E118" s="13" t="n">
        <f aca="false">SUMIFS(BD_REVIT!$H:$H,BD_REVIT!$C:$C,$A118,BD_REVIT!$F:$F,E$4)</f>
        <v>0</v>
      </c>
      <c r="F118" s="13" t="n">
        <f aca="false">SUMIFS(BD_REVIT!$H:$H,BD_REVIT!$C:$C,$A118,BD_REVIT!$F:$F,F$4)</f>
        <v>0</v>
      </c>
      <c r="G118" s="13" t="n">
        <f aca="false">SUMIFS(BD_REVIT!$H:$H,BD_REVIT!$C:$C,$A118,BD_REVIT!$F:$F,G$4)</f>
        <v>0</v>
      </c>
      <c r="H118" s="13" t="n">
        <f aca="false">SUMIFS(BD_REVIT!$H:$H,BD_REVIT!$C:$C,$A118,BD_REVIT!$F:$F,H$4)</f>
        <v>0</v>
      </c>
      <c r="I118" s="13" t="n">
        <f aca="false">SUMIFS(BD_REVIT!$H:$H,BD_REVIT!$C:$C,$A118,BD_REVIT!$F:$F,I$4)</f>
        <v>0</v>
      </c>
      <c r="J118" s="13" t="n">
        <f aca="false">SUMIFS(BD_REVIT!$H:$H,BD_REVIT!$C:$C,$A118,BD_REVIT!$F:$F,J$4)</f>
        <v>0</v>
      </c>
      <c r="K118" s="13" t="n">
        <f aca="false">SUMIFS(BD_REVIT!$H:$H,BD_REVIT!$C:$C,$A118,BD_REVIT!$F:$F,K$4)</f>
        <v>0</v>
      </c>
      <c r="L118" s="13" t="n">
        <f aca="false">SUMIFS(BD_REVIT!$H:$H,BD_REVIT!$C:$C,$A118,BD_REVIT!$F:$F,L$4)</f>
        <v>0</v>
      </c>
      <c r="M118" s="13" t="n">
        <f aca="false">SUMIFS(BD_REVIT!$H:$H,BD_REVIT!$C:$C,$A118,BD_REVIT!$F:$F,M$4)</f>
        <v>0</v>
      </c>
      <c r="N118" s="13" t="n">
        <f aca="false">SUMIFS(BD_REVIT!$H:$H,BD_REVIT!$C:$C,$A118,BD_REVIT!$F:$F,N$4)</f>
        <v>0</v>
      </c>
      <c r="O118" s="13" t="n">
        <f aca="false">SUMIFS(BD_REVIT!$H:$H,BD_REVIT!$C:$C,$A118,BD_REVIT!$F:$F,O$4)</f>
        <v>0</v>
      </c>
      <c r="P118" s="13" t="n">
        <f aca="false">SUMIFS(BD_REVIT!$H:$H,BD_REVIT!$C:$C,$A118,BD_REVIT!$F:$F,P$4)</f>
        <v>0</v>
      </c>
      <c r="Q118" s="13" t="n">
        <f aca="false">SUMIFS(BD_REVIT!$H:$H,BD_REVIT!$C:$C,$A118,BD_REVIT!$F:$F,Q$4)</f>
        <v>0</v>
      </c>
      <c r="R118" s="13" t="n">
        <f aca="false">SUMIFS(BD_REVIT!$H:$H,BD_REVIT!$C:$C,$A118,BD_REVIT!$F:$F,R$4)</f>
        <v>0</v>
      </c>
      <c r="S118" s="13" t="n">
        <f aca="false">SUMIFS(BD_REVIT!$H:$H,BD_REVIT!$C:$C,$A118,BD_REVIT!$F:$F,S$4)</f>
        <v>0</v>
      </c>
      <c r="T118" s="13" t="n">
        <f aca="false">SUMIFS(BD_REVIT!$H:$H,BD_REVIT!$C:$C,$A118,BD_REVIT!$F:$F,T$4)</f>
        <v>0</v>
      </c>
      <c r="U118" s="13" t="n">
        <f aca="false">SUMIFS(BD_REVIT!$H:$H,BD_REVIT!$C:$C,$A118,BD_REVIT!$F:$F,U$4)</f>
        <v>0</v>
      </c>
      <c r="V118" s="13" t="n">
        <f aca="false">SUMIFS(BD_REVIT!$H:$H,BD_REVIT!$C:$C,$A118,BD_REVIT!$F:$F,V$4)</f>
        <v>0</v>
      </c>
      <c r="W118" s="13" t="n">
        <f aca="false">SUMIFS(BD_REVIT!$H:$H,BD_REVIT!$C:$C,$A118,BD_REVIT!$F:$F,W$4)</f>
        <v>0</v>
      </c>
      <c r="X118" s="13" t="n">
        <f aca="false">SUMIFS(BD_REVIT!$H:$H,BD_REVIT!$C:$C,$A118,BD_REVIT!$F:$F,X$4)</f>
        <v>0</v>
      </c>
      <c r="Y118" s="13" t="n">
        <f aca="false">SUMIFS(BD_REVIT!$H:$H,BD_REVIT!$C:$C,$A118,BD_REVIT!$F:$F,Y$4)</f>
        <v>0</v>
      </c>
      <c r="Z118" s="52" t="n">
        <f aca="false">SUM(D118:Y118)</f>
        <v>0</v>
      </c>
      <c r="AA118" s="13" t="n">
        <f aca="false">NIVEL!D511</f>
        <v>0</v>
      </c>
      <c r="AB118" s="13" t="n">
        <f aca="false">ROUND(Z118-AA118,2)</f>
        <v>0</v>
      </c>
    </row>
    <row r="119" customFormat="false" ht="15" hidden="false" customHeight="false" outlineLevel="0" collapsed="false">
      <c r="A119" s="10" t="s">
        <v>915</v>
      </c>
      <c r="B119" s="51" t="s">
        <v>916</v>
      </c>
      <c r="C119" s="10" t="s">
        <v>61</v>
      </c>
      <c r="D119" s="13" t="n">
        <f aca="false">SUMIFS(BD_REVIT!$H:$H,BD_REVIT!$C:$C,$A119,BD_REVIT!$F:$F,D$4)</f>
        <v>0</v>
      </c>
      <c r="E119" s="13" t="n">
        <f aca="false">SUMIFS(BD_REVIT!$H:$H,BD_REVIT!$C:$C,$A119,BD_REVIT!$F:$F,E$4)</f>
        <v>0</v>
      </c>
      <c r="F119" s="13" t="n">
        <f aca="false">SUMIFS(BD_REVIT!$H:$H,BD_REVIT!$C:$C,$A119,BD_REVIT!$F:$F,F$4)</f>
        <v>0</v>
      </c>
      <c r="G119" s="13" t="n">
        <f aca="false">SUMIFS(BD_REVIT!$H:$H,BD_REVIT!$C:$C,$A119,BD_REVIT!$F:$F,G$4)</f>
        <v>0</v>
      </c>
      <c r="H119" s="13" t="n">
        <f aca="false">SUMIFS(BD_REVIT!$H:$H,BD_REVIT!$C:$C,$A119,BD_REVIT!$F:$F,H$4)</f>
        <v>0</v>
      </c>
      <c r="I119" s="13" t="n">
        <f aca="false">SUMIFS(BD_REVIT!$H:$H,BD_REVIT!$C:$C,$A119,BD_REVIT!$F:$F,I$4)</f>
        <v>0</v>
      </c>
      <c r="J119" s="13" t="n">
        <f aca="false">SUMIFS(BD_REVIT!$H:$H,BD_REVIT!$C:$C,$A119,BD_REVIT!$F:$F,J$4)</f>
        <v>0</v>
      </c>
      <c r="K119" s="13" t="n">
        <f aca="false">SUMIFS(BD_REVIT!$H:$H,BD_REVIT!$C:$C,$A119,BD_REVIT!$F:$F,K$4)</f>
        <v>0</v>
      </c>
      <c r="L119" s="13" t="n">
        <f aca="false">SUMIFS(BD_REVIT!$H:$H,BD_REVIT!$C:$C,$A119,BD_REVIT!$F:$F,L$4)</f>
        <v>0</v>
      </c>
      <c r="M119" s="13" t="n">
        <f aca="false">SUMIFS(BD_REVIT!$H:$H,BD_REVIT!$C:$C,$A119,BD_REVIT!$F:$F,M$4)</f>
        <v>0</v>
      </c>
      <c r="N119" s="13" t="n">
        <f aca="false">SUMIFS(BD_REVIT!$H:$H,BD_REVIT!$C:$C,$A119,BD_REVIT!$F:$F,N$4)</f>
        <v>0</v>
      </c>
      <c r="O119" s="13" t="n">
        <f aca="false">SUMIFS(BD_REVIT!$H:$H,BD_REVIT!$C:$C,$A119,BD_REVIT!$F:$F,O$4)</f>
        <v>0</v>
      </c>
      <c r="P119" s="13" t="n">
        <f aca="false">SUMIFS(BD_REVIT!$H:$H,BD_REVIT!$C:$C,$A119,BD_REVIT!$F:$F,P$4)</f>
        <v>0</v>
      </c>
      <c r="Q119" s="13" t="n">
        <f aca="false">SUMIFS(BD_REVIT!$H:$H,BD_REVIT!$C:$C,$A119,BD_REVIT!$F:$F,Q$4)</f>
        <v>0</v>
      </c>
      <c r="R119" s="13" t="n">
        <f aca="false">SUMIFS(BD_REVIT!$H:$H,BD_REVIT!$C:$C,$A119,BD_REVIT!$F:$F,R$4)</f>
        <v>0</v>
      </c>
      <c r="S119" s="13" t="n">
        <f aca="false">SUMIFS(BD_REVIT!$H:$H,BD_REVIT!$C:$C,$A119,BD_REVIT!$F:$F,S$4)</f>
        <v>0</v>
      </c>
      <c r="T119" s="13" t="n">
        <f aca="false">SUMIFS(BD_REVIT!$H:$H,BD_REVIT!$C:$C,$A119,BD_REVIT!$F:$F,T$4)</f>
        <v>0</v>
      </c>
      <c r="U119" s="13" t="n">
        <f aca="false">SUMIFS(BD_REVIT!$H:$H,BD_REVIT!$C:$C,$A119,BD_REVIT!$F:$F,U$4)</f>
        <v>0</v>
      </c>
      <c r="V119" s="13" t="n">
        <f aca="false">SUMIFS(BD_REVIT!$H:$H,BD_REVIT!$C:$C,$A119,BD_REVIT!$F:$F,V$4)</f>
        <v>0</v>
      </c>
      <c r="W119" s="13" t="n">
        <f aca="false">SUMIFS(BD_REVIT!$H:$H,BD_REVIT!$C:$C,$A119,BD_REVIT!$F:$F,W$4)</f>
        <v>0</v>
      </c>
      <c r="X119" s="13" t="n">
        <f aca="false">SUMIFS(BD_REVIT!$H:$H,BD_REVIT!$C:$C,$A119,BD_REVIT!$F:$F,X$4)</f>
        <v>0</v>
      </c>
      <c r="Y119" s="13" t="n">
        <f aca="false">SUMIFS(BD_REVIT!$H:$H,BD_REVIT!$C:$C,$A119,BD_REVIT!$F:$F,Y$4)</f>
        <v>1</v>
      </c>
      <c r="Z119" s="52" t="n">
        <f aca="false">SUM(D119:Y119)</f>
        <v>1</v>
      </c>
      <c r="AA119" s="13" t="n">
        <f aca="false">NIVEL!D513</f>
        <v>1</v>
      </c>
      <c r="AB119" s="13" t="n">
        <f aca="false">ROUND(Z119-AA119,2)</f>
        <v>0</v>
      </c>
    </row>
    <row r="120" customFormat="false" ht="15" hidden="false" customHeight="false" outlineLevel="0" collapsed="false">
      <c r="A120" s="10" t="s">
        <v>918</v>
      </c>
      <c r="B120" s="51" t="s">
        <v>919</v>
      </c>
      <c r="C120" s="10" t="s">
        <v>61</v>
      </c>
      <c r="D120" s="13" t="n">
        <f aca="false">SUMIFS(BD_REVIT!$H:$H,BD_REVIT!$C:$C,$A120,BD_REVIT!$F:$F,D$4)</f>
        <v>0</v>
      </c>
      <c r="E120" s="13" t="n">
        <f aca="false">SUMIFS(BD_REVIT!$H:$H,BD_REVIT!$C:$C,$A120,BD_REVIT!$F:$F,E$4)</f>
        <v>0</v>
      </c>
      <c r="F120" s="13" t="n">
        <f aca="false">SUMIFS(BD_REVIT!$H:$H,BD_REVIT!$C:$C,$A120,BD_REVIT!$F:$F,F$4)</f>
        <v>0</v>
      </c>
      <c r="G120" s="13" t="n">
        <f aca="false">SUMIFS(BD_REVIT!$H:$H,BD_REVIT!$C:$C,$A120,BD_REVIT!$F:$F,G$4)</f>
        <v>0</v>
      </c>
      <c r="H120" s="13" t="n">
        <f aca="false">SUMIFS(BD_REVIT!$H:$H,BD_REVIT!$C:$C,$A120,BD_REVIT!$F:$F,H$4)</f>
        <v>0</v>
      </c>
      <c r="I120" s="13" t="n">
        <f aca="false">SUMIFS(BD_REVIT!$H:$H,BD_REVIT!$C:$C,$A120,BD_REVIT!$F:$F,I$4)</f>
        <v>0</v>
      </c>
      <c r="J120" s="13" t="n">
        <f aca="false">SUMIFS(BD_REVIT!$H:$H,BD_REVIT!$C:$C,$A120,BD_REVIT!$F:$F,J$4)</f>
        <v>0</v>
      </c>
      <c r="K120" s="13" t="n">
        <f aca="false">SUMIFS(BD_REVIT!$H:$H,BD_REVIT!$C:$C,$A120,BD_REVIT!$F:$F,K$4)</f>
        <v>0</v>
      </c>
      <c r="L120" s="13" t="n">
        <f aca="false">SUMIFS(BD_REVIT!$H:$H,BD_REVIT!$C:$C,$A120,BD_REVIT!$F:$F,L$4)</f>
        <v>0</v>
      </c>
      <c r="M120" s="13" t="n">
        <f aca="false">SUMIFS(BD_REVIT!$H:$H,BD_REVIT!$C:$C,$A120,BD_REVIT!$F:$F,M$4)</f>
        <v>0</v>
      </c>
      <c r="N120" s="13" t="n">
        <f aca="false">SUMIFS(BD_REVIT!$H:$H,BD_REVIT!$C:$C,$A120,BD_REVIT!$F:$F,N$4)</f>
        <v>0</v>
      </c>
      <c r="O120" s="13" t="n">
        <f aca="false">SUMIFS(BD_REVIT!$H:$H,BD_REVIT!$C:$C,$A120,BD_REVIT!$F:$F,O$4)</f>
        <v>0</v>
      </c>
      <c r="P120" s="13" t="n">
        <f aca="false">SUMIFS(BD_REVIT!$H:$H,BD_REVIT!$C:$C,$A120,BD_REVIT!$F:$F,P$4)</f>
        <v>0</v>
      </c>
      <c r="Q120" s="13" t="n">
        <f aca="false">SUMIFS(BD_REVIT!$H:$H,BD_REVIT!$C:$C,$A120,BD_REVIT!$F:$F,Q$4)</f>
        <v>0</v>
      </c>
      <c r="R120" s="13" t="n">
        <f aca="false">SUMIFS(BD_REVIT!$H:$H,BD_REVIT!$C:$C,$A120,BD_REVIT!$F:$F,R$4)</f>
        <v>0</v>
      </c>
      <c r="S120" s="13" t="n">
        <f aca="false">SUMIFS(BD_REVIT!$H:$H,BD_REVIT!$C:$C,$A120,BD_REVIT!$F:$F,S$4)</f>
        <v>0</v>
      </c>
      <c r="T120" s="13" t="n">
        <f aca="false">SUMIFS(BD_REVIT!$H:$H,BD_REVIT!$C:$C,$A120,BD_REVIT!$F:$F,T$4)</f>
        <v>0</v>
      </c>
      <c r="U120" s="13" t="n">
        <f aca="false">SUMIFS(BD_REVIT!$H:$H,BD_REVIT!$C:$C,$A120,BD_REVIT!$F:$F,U$4)</f>
        <v>0</v>
      </c>
      <c r="V120" s="13" t="n">
        <f aca="false">SUMIFS(BD_REVIT!$H:$H,BD_REVIT!$C:$C,$A120,BD_REVIT!$F:$F,V$4)</f>
        <v>0</v>
      </c>
      <c r="W120" s="13" t="n">
        <f aca="false">SUMIFS(BD_REVIT!$H:$H,BD_REVIT!$C:$C,$A120,BD_REVIT!$F:$F,W$4)</f>
        <v>0</v>
      </c>
      <c r="X120" s="13" t="n">
        <f aca="false">SUMIFS(BD_REVIT!$H:$H,BD_REVIT!$C:$C,$A120,BD_REVIT!$F:$F,X$4)</f>
        <v>0</v>
      </c>
      <c r="Y120" s="13" t="n">
        <f aca="false">SUMIFS(BD_REVIT!$H:$H,BD_REVIT!$C:$C,$A120,BD_REVIT!$F:$F,Y$4)</f>
        <v>1</v>
      </c>
      <c r="Z120" s="52" t="n">
        <f aca="false">SUM(D120:Y120)</f>
        <v>1</v>
      </c>
      <c r="AA120" s="13" t="n">
        <f aca="false">NIVEL!D515</f>
        <v>1</v>
      </c>
      <c r="AB120" s="13" t="n">
        <f aca="false">ROUND(Z120-AA120,2)</f>
        <v>0</v>
      </c>
    </row>
    <row r="121" customFormat="false" ht="15" hidden="false" customHeight="false" outlineLevel="0" collapsed="false">
      <c r="A121" s="10" t="s">
        <v>920</v>
      </c>
      <c r="B121" s="51" t="s">
        <v>921</v>
      </c>
      <c r="C121" s="10" t="s">
        <v>61</v>
      </c>
      <c r="D121" s="13" t="n">
        <f aca="false">SUMIFS(BD_REVIT!$H:$H,BD_REVIT!$C:$C,$A121,BD_REVIT!$F:$F,D$4)</f>
        <v>0</v>
      </c>
      <c r="E121" s="13" t="n">
        <f aca="false">SUMIFS(BD_REVIT!$H:$H,BD_REVIT!$C:$C,$A121,BD_REVIT!$F:$F,E$4)</f>
        <v>0</v>
      </c>
      <c r="F121" s="13" t="n">
        <f aca="false">SUMIFS(BD_REVIT!$H:$H,BD_REVIT!$C:$C,$A121,BD_REVIT!$F:$F,F$4)</f>
        <v>0</v>
      </c>
      <c r="G121" s="13" t="n">
        <f aca="false">SUMIFS(BD_REVIT!$H:$H,BD_REVIT!$C:$C,$A121,BD_REVIT!$F:$F,G$4)</f>
        <v>0</v>
      </c>
      <c r="H121" s="13" t="n">
        <f aca="false">SUMIFS(BD_REVIT!$H:$H,BD_REVIT!$C:$C,$A121,BD_REVIT!$F:$F,H$4)</f>
        <v>0</v>
      </c>
      <c r="I121" s="13" t="n">
        <f aca="false">SUMIFS(BD_REVIT!$H:$H,BD_REVIT!$C:$C,$A121,BD_REVIT!$F:$F,I$4)</f>
        <v>0</v>
      </c>
      <c r="J121" s="13" t="n">
        <f aca="false">SUMIFS(BD_REVIT!$H:$H,BD_REVIT!$C:$C,$A121,BD_REVIT!$F:$F,J$4)</f>
        <v>0</v>
      </c>
      <c r="K121" s="13" t="n">
        <f aca="false">SUMIFS(BD_REVIT!$H:$H,BD_REVIT!$C:$C,$A121,BD_REVIT!$F:$F,K$4)</f>
        <v>0</v>
      </c>
      <c r="L121" s="13" t="n">
        <f aca="false">SUMIFS(BD_REVIT!$H:$H,BD_REVIT!$C:$C,$A121,BD_REVIT!$F:$F,L$4)</f>
        <v>0</v>
      </c>
      <c r="M121" s="13" t="n">
        <f aca="false">SUMIFS(BD_REVIT!$H:$H,BD_REVIT!$C:$C,$A121,BD_REVIT!$F:$F,M$4)</f>
        <v>0</v>
      </c>
      <c r="N121" s="13" t="n">
        <f aca="false">SUMIFS(BD_REVIT!$H:$H,BD_REVIT!$C:$C,$A121,BD_REVIT!$F:$F,N$4)</f>
        <v>0</v>
      </c>
      <c r="O121" s="13" t="n">
        <f aca="false">SUMIFS(BD_REVIT!$H:$H,BD_REVIT!$C:$C,$A121,BD_REVIT!$F:$F,O$4)</f>
        <v>0</v>
      </c>
      <c r="P121" s="13" t="n">
        <f aca="false">SUMIFS(BD_REVIT!$H:$H,BD_REVIT!$C:$C,$A121,BD_REVIT!$F:$F,P$4)</f>
        <v>0</v>
      </c>
      <c r="Q121" s="13" t="n">
        <f aca="false">SUMIFS(BD_REVIT!$H:$H,BD_REVIT!$C:$C,$A121,BD_REVIT!$F:$F,Q$4)</f>
        <v>0</v>
      </c>
      <c r="R121" s="13" t="n">
        <f aca="false">SUMIFS(BD_REVIT!$H:$H,BD_REVIT!$C:$C,$A121,BD_REVIT!$F:$F,R$4)</f>
        <v>0</v>
      </c>
      <c r="S121" s="13" t="n">
        <f aca="false">SUMIFS(BD_REVIT!$H:$H,BD_REVIT!$C:$C,$A121,BD_REVIT!$F:$F,S$4)</f>
        <v>0</v>
      </c>
      <c r="T121" s="13" t="n">
        <f aca="false">SUMIFS(BD_REVIT!$H:$H,BD_REVIT!$C:$C,$A121,BD_REVIT!$F:$F,T$4)</f>
        <v>0</v>
      </c>
      <c r="U121" s="13" t="n">
        <f aca="false">SUMIFS(BD_REVIT!$H:$H,BD_REVIT!$C:$C,$A121,BD_REVIT!$F:$F,U$4)</f>
        <v>0</v>
      </c>
      <c r="V121" s="13" t="n">
        <f aca="false">SUMIFS(BD_REVIT!$H:$H,BD_REVIT!$C:$C,$A121,BD_REVIT!$F:$F,V$4)</f>
        <v>0</v>
      </c>
      <c r="W121" s="13" t="n">
        <f aca="false">SUMIFS(BD_REVIT!$H:$H,BD_REVIT!$C:$C,$A121,BD_REVIT!$F:$F,W$4)</f>
        <v>0</v>
      </c>
      <c r="X121" s="13" t="n">
        <f aca="false">SUMIFS(BD_REVIT!$H:$H,BD_REVIT!$C:$C,$A121,BD_REVIT!$F:$F,X$4)</f>
        <v>0</v>
      </c>
      <c r="Y121" s="13" t="n">
        <f aca="false">SUMIFS(BD_REVIT!$H:$H,BD_REVIT!$C:$C,$A121,BD_REVIT!$F:$F,Y$4)</f>
        <v>1</v>
      </c>
      <c r="Z121" s="52" t="n">
        <f aca="false">SUM(D121:Y121)</f>
        <v>1</v>
      </c>
      <c r="AA121" s="13" t="n">
        <f aca="false">NIVEL!D516</f>
        <v>1</v>
      </c>
      <c r="AB121" s="13" t="n">
        <f aca="false">ROUND(Z121-AA121,2)</f>
        <v>0</v>
      </c>
    </row>
    <row r="122" customFormat="false" ht="15" hidden="false" customHeight="false" outlineLevel="0" collapsed="false">
      <c r="A122" s="10" t="s">
        <v>923</v>
      </c>
      <c r="B122" s="51" t="s">
        <v>924</v>
      </c>
      <c r="C122" s="10" t="s">
        <v>925</v>
      </c>
      <c r="D122" s="13" t="n">
        <f aca="false">SUMIFS(BD_REVIT!$H:$H,BD_REVIT!$C:$C,$A122,BD_REVIT!$F:$F,D$4)</f>
        <v>0</v>
      </c>
      <c r="E122" s="13" t="n">
        <f aca="false">SUMIFS(BD_REVIT!$H:$H,BD_REVIT!$C:$C,$A122,BD_REVIT!$F:$F,E$4)</f>
        <v>0</v>
      </c>
      <c r="F122" s="13" t="n">
        <f aca="false">SUMIFS(BD_REVIT!$H:$H,BD_REVIT!$C:$C,$A122,BD_REVIT!$F:$F,F$4)</f>
        <v>0</v>
      </c>
      <c r="G122" s="13" t="n">
        <f aca="false">SUMIFS(BD_REVIT!$H:$H,BD_REVIT!$C:$C,$A122,BD_REVIT!$F:$F,G$4)</f>
        <v>0</v>
      </c>
      <c r="H122" s="13" t="n">
        <f aca="false">SUMIFS(BD_REVIT!$H:$H,BD_REVIT!$C:$C,$A122,BD_REVIT!$F:$F,H$4)</f>
        <v>0</v>
      </c>
      <c r="I122" s="13" t="n">
        <f aca="false">SUMIFS(BD_REVIT!$H:$H,BD_REVIT!$C:$C,$A122,BD_REVIT!$F:$F,I$4)</f>
        <v>0</v>
      </c>
      <c r="J122" s="13" t="n">
        <f aca="false">SUMIFS(BD_REVIT!$H:$H,BD_REVIT!$C:$C,$A122,BD_REVIT!$F:$F,J$4)</f>
        <v>0</v>
      </c>
      <c r="K122" s="13" t="n">
        <f aca="false">SUMIFS(BD_REVIT!$H:$H,BD_REVIT!$C:$C,$A122,BD_REVIT!$F:$F,K$4)</f>
        <v>0</v>
      </c>
      <c r="L122" s="13" t="n">
        <f aca="false">SUMIFS(BD_REVIT!$H:$H,BD_REVIT!$C:$C,$A122,BD_REVIT!$F:$F,L$4)</f>
        <v>0</v>
      </c>
      <c r="M122" s="13" t="n">
        <f aca="false">SUMIFS(BD_REVIT!$H:$H,BD_REVIT!$C:$C,$A122,BD_REVIT!$F:$F,M$4)</f>
        <v>0</v>
      </c>
      <c r="N122" s="13" t="n">
        <f aca="false">SUMIFS(BD_REVIT!$H:$H,BD_REVIT!$C:$C,$A122,BD_REVIT!$F:$F,N$4)</f>
        <v>0</v>
      </c>
      <c r="O122" s="13" t="n">
        <f aca="false">SUMIFS(BD_REVIT!$H:$H,BD_REVIT!$C:$C,$A122,BD_REVIT!$F:$F,O$4)</f>
        <v>0</v>
      </c>
      <c r="P122" s="13" t="n">
        <f aca="false">SUMIFS(BD_REVIT!$H:$H,BD_REVIT!$C:$C,$A122,BD_REVIT!$F:$F,P$4)</f>
        <v>0</v>
      </c>
      <c r="Q122" s="13" t="n">
        <f aca="false">SUMIFS(BD_REVIT!$H:$H,BD_REVIT!$C:$C,$A122,BD_REVIT!$F:$F,Q$4)</f>
        <v>0</v>
      </c>
      <c r="R122" s="13" t="n">
        <f aca="false">SUMIFS(BD_REVIT!$H:$H,BD_REVIT!$C:$C,$A122,BD_REVIT!$F:$F,R$4)</f>
        <v>0</v>
      </c>
      <c r="S122" s="13" t="n">
        <f aca="false">SUMIFS(BD_REVIT!$H:$H,BD_REVIT!$C:$C,$A122,BD_REVIT!$F:$F,S$4)</f>
        <v>0</v>
      </c>
      <c r="T122" s="13" t="n">
        <f aca="false">SUMIFS(BD_REVIT!$H:$H,BD_REVIT!$C:$C,$A122,BD_REVIT!$F:$F,T$4)</f>
        <v>0</v>
      </c>
      <c r="U122" s="13" t="n">
        <f aca="false">SUMIFS(BD_REVIT!$H:$H,BD_REVIT!$C:$C,$A122,BD_REVIT!$F:$F,U$4)</f>
        <v>0</v>
      </c>
      <c r="V122" s="13" t="n">
        <f aca="false">SUMIFS(BD_REVIT!$H:$H,BD_REVIT!$C:$C,$A122,BD_REVIT!$F:$F,V$4)</f>
        <v>0</v>
      </c>
      <c r="W122" s="13" t="n">
        <f aca="false">SUMIFS(BD_REVIT!$H:$H,BD_REVIT!$C:$C,$A122,BD_REVIT!$F:$F,W$4)</f>
        <v>0</v>
      </c>
      <c r="X122" s="13" t="n">
        <f aca="false">SUMIFS(BD_REVIT!$H:$H,BD_REVIT!$C:$C,$A122,BD_REVIT!$F:$F,X$4)</f>
        <v>0</v>
      </c>
      <c r="Y122" s="13" t="n">
        <f aca="false">SUMIFS(BD_REVIT!$H:$H,BD_REVIT!$C:$C,$A122,BD_REVIT!$F:$F,Y$4)</f>
        <v>0</v>
      </c>
      <c r="Z122" s="52" t="n">
        <f aca="false">SUM(D122:Y122)</f>
        <v>0</v>
      </c>
      <c r="AA122" s="13" t="n">
        <f aca="false">NIVEL!D518</f>
        <v>0</v>
      </c>
      <c r="AB122" s="13" t="n">
        <f aca="false">ROUND(Z122-AA122,2)</f>
        <v>0</v>
      </c>
    </row>
    <row r="123" customFormat="false" ht="15" hidden="false" customHeight="false" outlineLevel="0" collapsed="false">
      <c r="B123" s="53" t="s">
        <v>1137</v>
      </c>
      <c r="D123" s="54" t="n">
        <f aca="false">SUMIFS(BD_REVIT!$H:$H,BD_REVIT!$M:$M,"SIN ASIGNAR",BD_REVIT!$F:$F,D$4)</f>
        <v>0</v>
      </c>
      <c r="E123" s="54" t="n">
        <f aca="false">SUMIFS(BD_REVIT!$H:$H,BD_REVIT!$M:$M,"SIN ASIGNAR",BD_REVIT!$F:$F,E$4)</f>
        <v>0</v>
      </c>
      <c r="F123" s="54" t="n">
        <f aca="false">SUMIFS(BD_REVIT!$H:$H,BD_REVIT!$M:$M,"SIN ASIGNAR",BD_REVIT!$F:$F,F$4)</f>
        <v>0</v>
      </c>
      <c r="G123" s="54" t="n">
        <f aca="false">SUMIFS(BD_REVIT!$H:$H,BD_REVIT!$M:$M,"SIN ASIGNAR",BD_REVIT!$F:$F,G$4)</f>
        <v>0</v>
      </c>
      <c r="H123" s="54" t="n">
        <f aca="false">SUMIFS(BD_REVIT!$H:$H,BD_REVIT!$M:$M,"SIN ASIGNAR",BD_REVIT!$F:$F,H$4)</f>
        <v>0</v>
      </c>
      <c r="I123" s="54" t="n">
        <f aca="false">SUMIFS(BD_REVIT!$H:$H,BD_REVIT!$M:$M,"SIN ASIGNAR",BD_REVIT!$F:$F,I$4)</f>
        <v>0</v>
      </c>
      <c r="J123" s="54" t="n">
        <f aca="false">SUMIFS(BD_REVIT!$H:$H,BD_REVIT!$M:$M,"SIN ASIGNAR",BD_REVIT!$F:$F,J$4)</f>
        <v>0</v>
      </c>
      <c r="K123" s="54" t="n">
        <f aca="false">SUMIFS(BD_REVIT!$H:$H,BD_REVIT!$M:$M,"SIN ASIGNAR",BD_REVIT!$F:$F,K$4)</f>
        <v>0</v>
      </c>
      <c r="L123" s="54" t="n">
        <f aca="false">SUMIFS(BD_REVIT!$H:$H,BD_REVIT!$M:$M,"SIN ASIGNAR",BD_REVIT!$F:$F,L$4)</f>
        <v>0</v>
      </c>
      <c r="M123" s="54" t="n">
        <f aca="false">SUMIFS(BD_REVIT!$H:$H,BD_REVIT!$M:$M,"SIN ASIGNAR",BD_REVIT!$F:$F,M$4)</f>
        <v>0</v>
      </c>
      <c r="N123" s="54" t="n">
        <f aca="false">SUMIFS(BD_REVIT!$H:$H,BD_REVIT!$M:$M,"SIN ASIGNAR",BD_REVIT!$F:$F,N$4)</f>
        <v>0</v>
      </c>
      <c r="O123" s="54" t="n">
        <f aca="false">SUMIFS(BD_REVIT!$H:$H,BD_REVIT!$M:$M,"SIN ASIGNAR",BD_REVIT!$F:$F,O$4)</f>
        <v>0</v>
      </c>
      <c r="P123" s="54" t="n">
        <f aca="false">SUMIFS(BD_REVIT!$H:$H,BD_REVIT!$M:$M,"SIN ASIGNAR",BD_REVIT!$F:$F,P$4)</f>
        <v>0</v>
      </c>
      <c r="Q123" s="54" t="n">
        <f aca="false">SUMIFS(BD_REVIT!$H:$H,BD_REVIT!$M:$M,"SIN ASIGNAR",BD_REVIT!$F:$F,Q$4)</f>
        <v>0</v>
      </c>
      <c r="R123" s="54" t="n">
        <f aca="false">SUMIFS(BD_REVIT!$H:$H,BD_REVIT!$M:$M,"SIN ASIGNAR",BD_REVIT!$F:$F,R$4)</f>
        <v>0</v>
      </c>
      <c r="S123" s="54" t="n">
        <f aca="false">SUMIFS(BD_REVIT!$H:$H,BD_REVIT!$M:$M,"SIN ASIGNAR",BD_REVIT!$F:$F,S$4)</f>
        <v>0</v>
      </c>
      <c r="T123" s="54" t="n">
        <f aca="false">SUMIFS(BD_REVIT!$H:$H,BD_REVIT!$M:$M,"SIN ASIGNAR",BD_REVIT!$F:$F,T$4)</f>
        <v>0</v>
      </c>
      <c r="U123" s="54" t="n">
        <f aca="false">SUMIFS(BD_REVIT!$H:$H,BD_REVIT!$M:$M,"SIN ASIGNAR",BD_REVIT!$F:$F,U$4)</f>
        <v>0</v>
      </c>
      <c r="V123" s="54" t="n">
        <f aca="false">SUMIFS(BD_REVIT!$H:$H,BD_REVIT!$M:$M,"SIN ASIGNAR",BD_REVIT!$F:$F,V$4)</f>
        <v>0</v>
      </c>
      <c r="W123" s="54" t="n">
        <f aca="false">SUMIFS(BD_REVIT!$H:$H,BD_REVIT!$M:$M,"SIN ASIGNAR",BD_REVIT!$F:$F,W$4)</f>
        <v>0</v>
      </c>
      <c r="X123" s="54" t="n">
        <f aca="false">SUMIFS(BD_REVIT!$H:$H,BD_REVIT!$M:$M,"SIN ASIGNAR",BD_REVIT!$F:$F,X$4)</f>
        <v>0</v>
      </c>
      <c r="Y123" s="54" t="n">
        <f aca="false">SUMIFS(BD_REVIT!$H:$H,BD_REVIT!$M:$M,"SIN ASIGNAR",BD_REVIT!$F:$F,Y$4)</f>
        <v>0</v>
      </c>
    </row>
  </sheetData>
  <conditionalFormatting sqref="D6:Y122">
    <cfRule type="colorScale" priority="2">
      <colorScale>
        <cfvo type="num" val="0"/>
        <cfvo type="max" val="0"/>
        <color rgb="FFFFFFFF"/>
        <color rgb="FF5B9BD5"/>
      </colorScale>
    </cfRule>
  </conditionalFormatting>
  <conditionalFormatting sqref="AB6:AB122">
    <cfRule type="cellIs" priority="3" operator="notEqual" aboveAverage="0" equalAverage="0" bottom="0" percent="0" rank="0" text="" dxfId="8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6" t="s">
        <v>10</v>
      </c>
      <c r="B1" s="6" t="s">
        <v>14</v>
      </c>
      <c r="C1" s="6" t="s">
        <v>978</v>
      </c>
      <c r="D1" s="6" t="s">
        <v>22</v>
      </c>
    </row>
    <row r="2" customFormat="false" ht="15" hidden="false" customHeight="false" outlineLevel="0" collapsed="false">
      <c r="A2" s="0" t="s">
        <v>689</v>
      </c>
      <c r="B2" s="0" t="s">
        <v>690</v>
      </c>
      <c r="C2" s="0" t="s">
        <v>61</v>
      </c>
      <c r="D2" s="0" t="s">
        <v>987</v>
      </c>
    </row>
    <row r="3" customFormat="false" ht="15" hidden="false" customHeight="false" outlineLevel="0" collapsed="false">
      <c r="A3" s="0" t="s">
        <v>691</v>
      </c>
      <c r="B3" s="0" t="s">
        <v>692</v>
      </c>
      <c r="C3" s="0" t="s">
        <v>61</v>
      </c>
      <c r="D3" s="0" t="s">
        <v>1031</v>
      </c>
    </row>
    <row r="4" customFormat="false" ht="15" hidden="false" customHeight="false" outlineLevel="0" collapsed="false">
      <c r="A4" s="0" t="s">
        <v>693</v>
      </c>
      <c r="B4" s="0" t="s">
        <v>694</v>
      </c>
      <c r="C4" s="0" t="s">
        <v>61</v>
      </c>
      <c r="D4" s="0" t="s">
        <v>1008</v>
      </c>
    </row>
    <row r="5" customFormat="false" ht="15" hidden="false" customHeight="false" outlineLevel="0" collapsed="false">
      <c r="A5" s="0" t="s">
        <v>696</v>
      </c>
      <c r="B5" s="0" t="s">
        <v>697</v>
      </c>
      <c r="C5" s="0" t="s">
        <v>61</v>
      </c>
      <c r="D5" s="0" t="s">
        <v>1011</v>
      </c>
    </row>
    <row r="6" customFormat="false" ht="15" hidden="false" customHeight="false" outlineLevel="0" collapsed="false">
      <c r="A6" s="0" t="s">
        <v>698</v>
      </c>
      <c r="B6" s="0" t="s">
        <v>699</v>
      </c>
      <c r="C6" s="0" t="s">
        <v>61</v>
      </c>
      <c r="D6" s="0" t="s">
        <v>1012</v>
      </c>
    </row>
    <row r="7" customFormat="false" ht="15" hidden="false" customHeight="false" outlineLevel="0" collapsed="false">
      <c r="A7" s="0" t="s">
        <v>700</v>
      </c>
      <c r="B7" s="0" t="s">
        <v>701</v>
      </c>
      <c r="C7" s="0" t="s">
        <v>61</v>
      </c>
      <c r="D7" s="0" t="s">
        <v>1013</v>
      </c>
    </row>
    <row r="8" customFormat="false" ht="15" hidden="false" customHeight="false" outlineLevel="0" collapsed="false">
      <c r="A8" s="0" t="s">
        <v>703</v>
      </c>
      <c r="B8" s="0" t="s">
        <v>704</v>
      </c>
      <c r="C8" s="0" t="s">
        <v>75</v>
      </c>
      <c r="D8" s="0" t="s">
        <v>1014</v>
      </c>
    </row>
    <row r="9" customFormat="false" ht="15" hidden="false" customHeight="false" outlineLevel="0" collapsed="false">
      <c r="A9" s="0" t="s">
        <v>705</v>
      </c>
      <c r="B9" s="0" t="s">
        <v>706</v>
      </c>
      <c r="C9" s="0" t="s">
        <v>75</v>
      </c>
      <c r="D9" s="0" t="s">
        <v>1017</v>
      </c>
    </row>
    <row r="10" customFormat="false" ht="15" hidden="false" customHeight="false" outlineLevel="0" collapsed="false">
      <c r="A10" s="0" t="s">
        <v>11</v>
      </c>
      <c r="B10" s="0" t="s">
        <v>707</v>
      </c>
      <c r="C10" s="0" t="s">
        <v>75</v>
      </c>
      <c r="D10" s="0" t="s">
        <v>1049</v>
      </c>
    </row>
    <row r="11" customFormat="false" ht="15" hidden="false" customHeight="false" outlineLevel="0" collapsed="false">
      <c r="A11" s="0" t="s">
        <v>708</v>
      </c>
      <c r="B11" s="0" t="s">
        <v>709</v>
      </c>
      <c r="C11" s="0" t="s">
        <v>75</v>
      </c>
      <c r="D11" s="0" t="s">
        <v>1050</v>
      </c>
    </row>
    <row r="12" customFormat="false" ht="15" hidden="false" customHeight="false" outlineLevel="0" collapsed="false">
      <c r="A12" s="0" t="s">
        <v>710</v>
      </c>
      <c r="B12" s="0" t="s">
        <v>711</v>
      </c>
      <c r="C12" s="0" t="s">
        <v>75</v>
      </c>
      <c r="D12" s="0" t="s">
        <v>1051</v>
      </c>
    </row>
    <row r="13" customFormat="false" ht="15" hidden="false" customHeight="false" outlineLevel="0" collapsed="false">
      <c r="A13" s="0" t="s">
        <v>712</v>
      </c>
      <c r="B13" s="0" t="s">
        <v>713</v>
      </c>
      <c r="C13" s="0" t="s">
        <v>75</v>
      </c>
      <c r="D13" s="0" t="s">
        <v>1052</v>
      </c>
    </row>
    <row r="14" customFormat="false" ht="15" hidden="false" customHeight="false" outlineLevel="0" collapsed="false">
      <c r="A14" s="0" t="s">
        <v>714</v>
      </c>
      <c r="B14" s="0" t="s">
        <v>715</v>
      </c>
      <c r="C14" s="0" t="s">
        <v>75</v>
      </c>
      <c r="D14" s="0" t="s">
        <v>1053</v>
      </c>
    </row>
    <row r="15" customFormat="false" ht="15" hidden="false" customHeight="false" outlineLevel="0" collapsed="false">
      <c r="A15" s="0" t="s">
        <v>716</v>
      </c>
      <c r="B15" s="0" t="s">
        <v>717</v>
      </c>
      <c r="C15" s="0" t="s">
        <v>75</v>
      </c>
      <c r="D15" s="0" t="s">
        <v>1054</v>
      </c>
    </row>
    <row r="16" customFormat="false" ht="15" hidden="false" customHeight="false" outlineLevel="0" collapsed="false">
      <c r="A16" s="0" t="s">
        <v>718</v>
      </c>
      <c r="B16" s="0" t="s">
        <v>384</v>
      </c>
      <c r="C16" s="0" t="s">
        <v>61</v>
      </c>
      <c r="D16" s="0" t="s">
        <v>1055</v>
      </c>
    </row>
    <row r="17" customFormat="false" ht="15" hidden="false" customHeight="false" outlineLevel="0" collapsed="false">
      <c r="A17" s="0" t="s">
        <v>719</v>
      </c>
      <c r="B17" s="0" t="s">
        <v>385</v>
      </c>
      <c r="C17" s="0" t="s">
        <v>61</v>
      </c>
      <c r="D17" s="0" t="s">
        <v>1056</v>
      </c>
    </row>
    <row r="18" customFormat="false" ht="15" hidden="false" customHeight="false" outlineLevel="0" collapsed="false">
      <c r="A18" s="0" t="s">
        <v>720</v>
      </c>
      <c r="B18" s="0" t="s">
        <v>81</v>
      </c>
      <c r="C18" s="0" t="s">
        <v>61</v>
      </c>
      <c r="D18" s="0" t="s">
        <v>1057</v>
      </c>
    </row>
    <row r="19" customFormat="false" ht="15" hidden="false" customHeight="false" outlineLevel="0" collapsed="false">
      <c r="A19" s="0" t="s">
        <v>721</v>
      </c>
      <c r="B19" s="0" t="s">
        <v>722</v>
      </c>
      <c r="C19" s="0" t="s">
        <v>61</v>
      </c>
      <c r="D19" s="0" t="s">
        <v>1058</v>
      </c>
    </row>
    <row r="20" customFormat="false" ht="15" hidden="false" customHeight="false" outlineLevel="0" collapsed="false">
      <c r="A20" s="0" t="s">
        <v>723</v>
      </c>
      <c r="B20" s="0" t="s">
        <v>83</v>
      </c>
      <c r="C20" s="0" t="s">
        <v>61</v>
      </c>
      <c r="D20" s="0" t="s">
        <v>1018</v>
      </c>
    </row>
    <row r="21" customFormat="false" ht="15" hidden="false" customHeight="false" outlineLevel="0" collapsed="false">
      <c r="A21" s="0" t="s">
        <v>724</v>
      </c>
      <c r="B21" s="0" t="s">
        <v>85</v>
      </c>
      <c r="C21" s="0" t="s">
        <v>61</v>
      </c>
      <c r="D21" s="0" t="s">
        <v>1022</v>
      </c>
    </row>
    <row r="22" customFormat="false" ht="15" hidden="false" customHeight="false" outlineLevel="0" collapsed="false">
      <c r="A22" s="0" t="s">
        <v>725</v>
      </c>
      <c r="B22" s="0" t="s">
        <v>726</v>
      </c>
      <c r="C22" s="0" t="s">
        <v>61</v>
      </c>
      <c r="D22" s="0" t="s">
        <v>1059</v>
      </c>
    </row>
    <row r="23" customFormat="false" ht="15" hidden="false" customHeight="false" outlineLevel="0" collapsed="false">
      <c r="A23" s="0" t="s">
        <v>727</v>
      </c>
      <c r="B23" s="0" t="s">
        <v>728</v>
      </c>
      <c r="C23" s="0" t="s">
        <v>61</v>
      </c>
    </row>
    <row r="24" customFormat="false" ht="15" hidden="false" customHeight="false" outlineLevel="0" collapsed="false">
      <c r="A24" s="0" t="s">
        <v>730</v>
      </c>
      <c r="B24" s="0" t="s">
        <v>731</v>
      </c>
      <c r="C24" s="0" t="s">
        <v>61</v>
      </c>
    </row>
    <row r="25" customFormat="false" ht="15" hidden="false" customHeight="false" outlineLevel="0" collapsed="false">
      <c r="A25" s="0" t="s">
        <v>732</v>
      </c>
      <c r="B25" s="0" t="s">
        <v>733</v>
      </c>
      <c r="C25" s="0" t="s">
        <v>61</v>
      </c>
    </row>
    <row r="26" customFormat="false" ht="15" hidden="false" customHeight="false" outlineLevel="0" collapsed="false">
      <c r="A26" s="0" t="s">
        <v>734</v>
      </c>
      <c r="B26" s="0" t="s">
        <v>735</v>
      </c>
      <c r="C26" s="0" t="s">
        <v>61</v>
      </c>
    </row>
    <row r="27" customFormat="false" ht="15" hidden="false" customHeight="false" outlineLevel="0" collapsed="false">
      <c r="A27" s="0" t="s">
        <v>736</v>
      </c>
      <c r="B27" s="0" t="s">
        <v>737</v>
      </c>
      <c r="C27" s="0" t="s">
        <v>61</v>
      </c>
    </row>
    <row r="28" customFormat="false" ht="15" hidden="false" customHeight="false" outlineLevel="0" collapsed="false">
      <c r="A28" s="0" t="s">
        <v>738</v>
      </c>
      <c r="B28" s="0" t="s">
        <v>739</v>
      </c>
      <c r="C28" s="0" t="s">
        <v>61</v>
      </c>
    </row>
    <row r="29" customFormat="false" ht="15" hidden="false" customHeight="false" outlineLevel="0" collapsed="false">
      <c r="A29" s="0" t="s">
        <v>740</v>
      </c>
      <c r="B29" s="0" t="s">
        <v>741</v>
      </c>
      <c r="C29" s="0" t="s">
        <v>61</v>
      </c>
    </row>
    <row r="30" customFormat="false" ht="15" hidden="false" customHeight="false" outlineLevel="0" collapsed="false">
      <c r="A30" s="0" t="s">
        <v>742</v>
      </c>
      <c r="B30" s="0" t="s">
        <v>743</v>
      </c>
      <c r="C30" s="0" t="s">
        <v>61</v>
      </c>
    </row>
    <row r="31" customFormat="false" ht="15" hidden="false" customHeight="false" outlineLevel="0" collapsed="false">
      <c r="A31" s="0" t="s">
        <v>744</v>
      </c>
      <c r="B31" s="0" t="s">
        <v>745</v>
      </c>
      <c r="C31" s="0" t="s">
        <v>61</v>
      </c>
    </row>
    <row r="32" customFormat="false" ht="15" hidden="false" customHeight="false" outlineLevel="0" collapsed="false">
      <c r="A32" s="0" t="s">
        <v>747</v>
      </c>
      <c r="B32" s="0" t="s">
        <v>717</v>
      </c>
      <c r="C32" s="0" t="s">
        <v>75</v>
      </c>
    </row>
    <row r="33" customFormat="false" ht="15" hidden="false" customHeight="false" outlineLevel="0" collapsed="false">
      <c r="A33" s="0" t="s">
        <v>748</v>
      </c>
      <c r="B33" s="0" t="s">
        <v>749</v>
      </c>
      <c r="C33" s="0" t="s">
        <v>61</v>
      </c>
    </row>
    <row r="34" customFormat="false" ht="15" hidden="false" customHeight="false" outlineLevel="0" collapsed="false">
      <c r="A34" s="0" t="s">
        <v>750</v>
      </c>
      <c r="B34" s="0" t="s">
        <v>751</v>
      </c>
      <c r="C34" s="0" t="s">
        <v>61</v>
      </c>
    </row>
    <row r="35" customFormat="false" ht="15" hidden="false" customHeight="false" outlineLevel="0" collapsed="false">
      <c r="A35" s="0" t="s">
        <v>752</v>
      </c>
      <c r="B35" s="0" t="s">
        <v>753</v>
      </c>
      <c r="C35" s="0" t="s">
        <v>61</v>
      </c>
    </row>
    <row r="36" customFormat="false" ht="15" hidden="false" customHeight="false" outlineLevel="0" collapsed="false">
      <c r="A36" s="0" t="s">
        <v>754</v>
      </c>
      <c r="B36" s="0" t="s">
        <v>755</v>
      </c>
      <c r="C36" s="0" t="s">
        <v>61</v>
      </c>
    </row>
    <row r="37" customFormat="false" ht="15" hidden="false" customHeight="false" outlineLevel="0" collapsed="false">
      <c r="A37" s="0" t="s">
        <v>756</v>
      </c>
      <c r="B37" s="0" t="s">
        <v>757</v>
      </c>
      <c r="C37" s="0" t="s">
        <v>61</v>
      </c>
    </row>
    <row r="38" customFormat="false" ht="15" hidden="false" customHeight="false" outlineLevel="0" collapsed="false">
      <c r="A38" s="0" t="s">
        <v>759</v>
      </c>
      <c r="B38" s="0" t="s">
        <v>760</v>
      </c>
      <c r="C38" s="0" t="s">
        <v>75</v>
      </c>
    </row>
    <row r="39" customFormat="false" ht="15" hidden="false" customHeight="false" outlineLevel="0" collapsed="false">
      <c r="A39" s="0" t="s">
        <v>762</v>
      </c>
      <c r="B39" s="0" t="s">
        <v>763</v>
      </c>
      <c r="C39" s="0" t="s">
        <v>61</v>
      </c>
    </row>
    <row r="40" customFormat="false" ht="15" hidden="false" customHeight="false" outlineLevel="0" collapsed="false">
      <c r="A40" s="0" t="s">
        <v>765</v>
      </c>
      <c r="B40" s="0" t="s">
        <v>766</v>
      </c>
      <c r="C40" s="0" t="s">
        <v>75</v>
      </c>
    </row>
    <row r="41" customFormat="false" ht="15" hidden="false" customHeight="false" outlineLevel="0" collapsed="false">
      <c r="A41" s="0" t="s">
        <v>767</v>
      </c>
      <c r="B41" s="0" t="s">
        <v>768</v>
      </c>
      <c r="C41" s="0" t="s">
        <v>75</v>
      </c>
    </row>
    <row r="42" customFormat="false" ht="15" hidden="false" customHeight="false" outlineLevel="0" collapsed="false">
      <c r="A42" s="0" t="s">
        <v>769</v>
      </c>
      <c r="B42" s="0" t="s">
        <v>401</v>
      </c>
      <c r="C42" s="0" t="s">
        <v>61</v>
      </c>
    </row>
    <row r="43" customFormat="false" ht="15" hidden="false" customHeight="false" outlineLevel="0" collapsed="false">
      <c r="A43" s="0" t="s">
        <v>770</v>
      </c>
      <c r="B43" s="0" t="s">
        <v>98</v>
      </c>
      <c r="C43" s="0" t="s">
        <v>61</v>
      </c>
    </row>
    <row r="44" customFormat="false" ht="15" hidden="false" customHeight="false" outlineLevel="0" collapsed="false">
      <c r="A44" s="0" t="s">
        <v>771</v>
      </c>
      <c r="B44" s="0" t="s">
        <v>772</v>
      </c>
      <c r="C44" s="0" t="s">
        <v>773</v>
      </c>
    </row>
    <row r="45" customFormat="false" ht="15" hidden="false" customHeight="false" outlineLevel="0" collapsed="false">
      <c r="A45" s="0" t="s">
        <v>774</v>
      </c>
      <c r="B45" s="0" t="s">
        <v>775</v>
      </c>
      <c r="C45" s="0" t="s">
        <v>773</v>
      </c>
    </row>
    <row r="46" customFormat="false" ht="15" hidden="false" customHeight="false" outlineLevel="0" collapsed="false">
      <c r="A46" s="0" t="s">
        <v>777</v>
      </c>
      <c r="B46" s="0" t="s">
        <v>778</v>
      </c>
      <c r="C46" s="0" t="s">
        <v>61</v>
      </c>
    </row>
    <row r="47" customFormat="false" ht="15" hidden="false" customHeight="false" outlineLevel="0" collapsed="false">
      <c r="A47" s="0" t="s">
        <v>779</v>
      </c>
      <c r="B47" s="0" t="s">
        <v>780</v>
      </c>
      <c r="C47" s="0" t="s">
        <v>61</v>
      </c>
    </row>
    <row r="48" customFormat="false" ht="15" hidden="false" customHeight="false" outlineLevel="0" collapsed="false">
      <c r="A48" s="0" t="s">
        <v>781</v>
      </c>
      <c r="B48" s="0" t="s">
        <v>782</v>
      </c>
      <c r="C48" s="0" t="s">
        <v>61</v>
      </c>
    </row>
    <row r="49" customFormat="false" ht="15" hidden="false" customHeight="false" outlineLevel="0" collapsed="false">
      <c r="A49" s="0" t="s">
        <v>783</v>
      </c>
      <c r="B49" s="0" t="s">
        <v>784</v>
      </c>
      <c r="C49" s="0" t="s">
        <v>61</v>
      </c>
    </row>
    <row r="50" customFormat="false" ht="15" hidden="false" customHeight="false" outlineLevel="0" collapsed="false">
      <c r="A50" s="0" t="s">
        <v>785</v>
      </c>
      <c r="B50" s="0" t="s">
        <v>786</v>
      </c>
      <c r="C50" s="0" t="s">
        <v>61</v>
      </c>
    </row>
    <row r="51" customFormat="false" ht="15" hidden="false" customHeight="false" outlineLevel="0" collapsed="false">
      <c r="A51" s="0" t="s">
        <v>787</v>
      </c>
      <c r="B51" s="0" t="s">
        <v>788</v>
      </c>
      <c r="C51" s="0" t="s">
        <v>61</v>
      </c>
    </row>
    <row r="52" customFormat="false" ht="15" hidden="false" customHeight="false" outlineLevel="0" collapsed="false">
      <c r="A52" s="0" t="s">
        <v>789</v>
      </c>
      <c r="B52" s="0" t="s">
        <v>790</v>
      </c>
      <c r="C52" s="0" t="s">
        <v>61</v>
      </c>
    </row>
    <row r="53" customFormat="false" ht="15" hidden="false" customHeight="false" outlineLevel="0" collapsed="false">
      <c r="A53" s="0" t="s">
        <v>791</v>
      </c>
      <c r="B53" s="0" t="s">
        <v>792</v>
      </c>
      <c r="C53" s="0" t="s">
        <v>61</v>
      </c>
    </row>
    <row r="54" customFormat="false" ht="15" hidden="false" customHeight="false" outlineLevel="0" collapsed="false">
      <c r="A54" s="0" t="s">
        <v>793</v>
      </c>
      <c r="B54" s="0" t="s">
        <v>794</v>
      </c>
      <c r="C54" s="0" t="s">
        <v>61</v>
      </c>
    </row>
    <row r="55" customFormat="false" ht="15" hidden="false" customHeight="false" outlineLevel="0" collapsed="false">
      <c r="A55" s="0" t="s">
        <v>795</v>
      </c>
      <c r="B55" s="0" t="s">
        <v>796</v>
      </c>
      <c r="C55" s="0" t="s">
        <v>61</v>
      </c>
    </row>
    <row r="56" customFormat="false" ht="15" hidden="false" customHeight="false" outlineLevel="0" collapsed="false">
      <c r="A56" s="0" t="s">
        <v>797</v>
      </c>
      <c r="B56" s="0" t="s">
        <v>798</v>
      </c>
      <c r="C56" s="0" t="s">
        <v>61</v>
      </c>
    </row>
    <row r="57" customFormat="false" ht="15" hidden="false" customHeight="false" outlineLevel="0" collapsed="false">
      <c r="A57" s="0" t="s">
        <v>799</v>
      </c>
      <c r="B57" s="0" t="s">
        <v>800</v>
      </c>
      <c r="C57" s="0" t="s">
        <v>61</v>
      </c>
    </row>
    <row r="58" customFormat="false" ht="15" hidden="false" customHeight="false" outlineLevel="0" collapsed="false">
      <c r="A58" s="0" t="s">
        <v>801</v>
      </c>
      <c r="B58" s="0" t="s">
        <v>802</v>
      </c>
      <c r="C58" s="0" t="s">
        <v>61</v>
      </c>
    </row>
    <row r="59" customFormat="false" ht="15" hidden="false" customHeight="false" outlineLevel="0" collapsed="false">
      <c r="A59" s="0" t="s">
        <v>803</v>
      </c>
      <c r="B59" s="0" t="s">
        <v>804</v>
      </c>
      <c r="C59" s="0" t="s">
        <v>61</v>
      </c>
    </row>
    <row r="60" customFormat="false" ht="15" hidden="false" customHeight="false" outlineLevel="0" collapsed="false">
      <c r="A60" s="0" t="s">
        <v>805</v>
      </c>
      <c r="B60" s="0" t="s">
        <v>806</v>
      </c>
      <c r="C60" s="0" t="s">
        <v>61</v>
      </c>
    </row>
    <row r="61" customFormat="false" ht="15" hidden="false" customHeight="false" outlineLevel="0" collapsed="false">
      <c r="A61" s="0" t="s">
        <v>807</v>
      </c>
      <c r="B61" s="0" t="s">
        <v>808</v>
      </c>
      <c r="C61" s="0" t="s">
        <v>61</v>
      </c>
    </row>
    <row r="62" customFormat="false" ht="15" hidden="false" customHeight="false" outlineLevel="0" collapsed="false">
      <c r="A62" s="0" t="s">
        <v>809</v>
      </c>
      <c r="B62" s="0" t="s">
        <v>810</v>
      </c>
      <c r="C62" s="0" t="s">
        <v>61</v>
      </c>
    </row>
    <row r="63" customFormat="false" ht="15" hidden="false" customHeight="false" outlineLevel="0" collapsed="false">
      <c r="A63" s="0" t="s">
        <v>811</v>
      </c>
      <c r="B63" s="0" t="s">
        <v>812</v>
      </c>
      <c r="C63" s="0" t="s">
        <v>61</v>
      </c>
    </row>
    <row r="64" customFormat="false" ht="15" hidden="false" customHeight="false" outlineLevel="0" collapsed="false">
      <c r="A64" s="0" t="s">
        <v>813</v>
      </c>
      <c r="B64" s="0" t="s">
        <v>814</v>
      </c>
      <c r="C64" s="0" t="s">
        <v>61</v>
      </c>
    </row>
    <row r="65" customFormat="false" ht="15" hidden="false" customHeight="false" outlineLevel="0" collapsed="false">
      <c r="A65" s="0" t="s">
        <v>815</v>
      </c>
      <c r="B65" s="0" t="s">
        <v>816</v>
      </c>
      <c r="C65" s="0" t="s">
        <v>61</v>
      </c>
    </row>
    <row r="66" customFormat="false" ht="15" hidden="false" customHeight="false" outlineLevel="0" collapsed="false">
      <c r="A66" s="0" t="s">
        <v>817</v>
      </c>
      <c r="B66" s="0" t="s">
        <v>818</v>
      </c>
      <c r="C66" s="0" t="s">
        <v>61</v>
      </c>
    </row>
    <row r="67" customFormat="false" ht="15" hidden="false" customHeight="false" outlineLevel="0" collapsed="false">
      <c r="A67" s="0" t="s">
        <v>819</v>
      </c>
      <c r="B67" s="0" t="s">
        <v>820</v>
      </c>
      <c r="C67" s="0" t="s">
        <v>61</v>
      </c>
    </row>
    <row r="68" customFormat="false" ht="15" hidden="false" customHeight="false" outlineLevel="0" collapsed="false">
      <c r="A68" s="0" t="s">
        <v>821</v>
      </c>
      <c r="B68" s="0" t="s">
        <v>822</v>
      </c>
      <c r="C68" s="0" t="s">
        <v>61</v>
      </c>
    </row>
    <row r="69" customFormat="false" ht="15" hidden="false" customHeight="false" outlineLevel="0" collapsed="false">
      <c r="A69" s="0" t="s">
        <v>823</v>
      </c>
      <c r="B69" s="0" t="s">
        <v>824</v>
      </c>
      <c r="C69" s="0" t="s">
        <v>61</v>
      </c>
    </row>
    <row r="70" customFormat="false" ht="15" hidden="false" customHeight="false" outlineLevel="0" collapsed="false">
      <c r="A70" s="0" t="s">
        <v>825</v>
      </c>
      <c r="B70" s="0" t="s">
        <v>826</v>
      </c>
      <c r="C70" s="0" t="s">
        <v>61</v>
      </c>
    </row>
    <row r="71" customFormat="false" ht="15" hidden="false" customHeight="false" outlineLevel="0" collapsed="false">
      <c r="A71" s="0" t="s">
        <v>827</v>
      </c>
      <c r="B71" s="0" t="s">
        <v>828</v>
      </c>
      <c r="C71" s="0" t="s">
        <v>61</v>
      </c>
    </row>
    <row r="72" customFormat="false" ht="15" hidden="false" customHeight="false" outlineLevel="0" collapsed="false">
      <c r="A72" s="0" t="s">
        <v>829</v>
      </c>
      <c r="B72" s="0" t="s">
        <v>830</v>
      </c>
      <c r="C72" s="0" t="s">
        <v>61</v>
      </c>
    </row>
    <row r="73" customFormat="false" ht="15" hidden="false" customHeight="false" outlineLevel="0" collapsed="false">
      <c r="A73" s="0" t="s">
        <v>831</v>
      </c>
      <c r="B73" s="0" t="s">
        <v>832</v>
      </c>
      <c r="C73" s="0" t="s">
        <v>61</v>
      </c>
    </row>
    <row r="74" customFormat="false" ht="15" hidden="false" customHeight="false" outlineLevel="0" collapsed="false">
      <c r="A74" s="0" t="s">
        <v>833</v>
      </c>
      <c r="B74" s="0" t="s">
        <v>834</v>
      </c>
      <c r="C74" s="0" t="s">
        <v>61</v>
      </c>
    </row>
    <row r="75" customFormat="false" ht="15" hidden="false" customHeight="false" outlineLevel="0" collapsed="false">
      <c r="A75" s="0" t="s">
        <v>835</v>
      </c>
      <c r="B75" s="0" t="s">
        <v>836</v>
      </c>
      <c r="C75" s="0" t="s">
        <v>61</v>
      </c>
    </row>
    <row r="76" customFormat="false" ht="15" hidden="false" customHeight="false" outlineLevel="0" collapsed="false">
      <c r="A76" s="0" t="s">
        <v>837</v>
      </c>
      <c r="B76" s="0" t="s">
        <v>838</v>
      </c>
      <c r="C76" s="0" t="s">
        <v>61</v>
      </c>
    </row>
    <row r="77" customFormat="false" ht="15" hidden="false" customHeight="false" outlineLevel="0" collapsed="false">
      <c r="A77" s="0" t="s">
        <v>839</v>
      </c>
      <c r="B77" s="0" t="s">
        <v>840</v>
      </c>
      <c r="C77" s="0" t="s">
        <v>61</v>
      </c>
    </row>
    <row r="78" customFormat="false" ht="15" hidden="false" customHeight="false" outlineLevel="0" collapsed="false">
      <c r="A78" s="0" t="s">
        <v>841</v>
      </c>
      <c r="B78" s="0" t="s">
        <v>842</v>
      </c>
      <c r="C78" s="0" t="s">
        <v>61</v>
      </c>
    </row>
    <row r="79" customFormat="false" ht="15" hidden="false" customHeight="false" outlineLevel="0" collapsed="false">
      <c r="A79" s="0" t="s">
        <v>843</v>
      </c>
      <c r="B79" s="0" t="s">
        <v>844</v>
      </c>
      <c r="C79" s="0" t="s">
        <v>61</v>
      </c>
    </row>
    <row r="80" customFormat="false" ht="15" hidden="false" customHeight="false" outlineLevel="0" collapsed="false">
      <c r="A80" s="0" t="s">
        <v>845</v>
      </c>
      <c r="B80" s="0" t="s">
        <v>846</v>
      </c>
      <c r="C80" s="0" t="s">
        <v>61</v>
      </c>
    </row>
    <row r="81" customFormat="false" ht="15" hidden="false" customHeight="false" outlineLevel="0" collapsed="false">
      <c r="A81" s="0" t="s">
        <v>847</v>
      </c>
      <c r="B81" s="0" t="s">
        <v>848</v>
      </c>
      <c r="C81" s="0" t="s">
        <v>61</v>
      </c>
    </row>
    <row r="82" customFormat="false" ht="15" hidden="false" customHeight="false" outlineLevel="0" collapsed="false">
      <c r="A82" s="0" t="s">
        <v>850</v>
      </c>
      <c r="B82" s="0" t="s">
        <v>851</v>
      </c>
      <c r="C82" s="0" t="s">
        <v>61</v>
      </c>
    </row>
    <row r="83" customFormat="false" ht="15" hidden="false" customHeight="false" outlineLevel="0" collapsed="false">
      <c r="A83" s="0" t="s">
        <v>852</v>
      </c>
      <c r="B83" s="0" t="s">
        <v>853</v>
      </c>
      <c r="C83" s="0" t="s">
        <v>61</v>
      </c>
    </row>
    <row r="84" customFormat="false" ht="15" hidden="false" customHeight="false" outlineLevel="0" collapsed="false">
      <c r="A84" s="0" t="s">
        <v>854</v>
      </c>
      <c r="B84" s="0" t="s">
        <v>855</v>
      </c>
      <c r="C84" s="0" t="s">
        <v>61</v>
      </c>
    </row>
    <row r="85" customFormat="false" ht="15" hidden="false" customHeight="false" outlineLevel="0" collapsed="false">
      <c r="A85" s="0" t="s">
        <v>856</v>
      </c>
      <c r="B85" s="0" t="s">
        <v>857</v>
      </c>
      <c r="C85" s="0" t="s">
        <v>61</v>
      </c>
    </row>
    <row r="86" customFormat="false" ht="15" hidden="false" customHeight="false" outlineLevel="0" collapsed="false">
      <c r="A86" s="0" t="s">
        <v>858</v>
      </c>
      <c r="B86" s="0" t="s">
        <v>859</v>
      </c>
      <c r="C86" s="0" t="s">
        <v>61</v>
      </c>
    </row>
    <row r="87" customFormat="false" ht="15" hidden="false" customHeight="false" outlineLevel="0" collapsed="false">
      <c r="A87" s="0" t="s">
        <v>860</v>
      </c>
      <c r="B87" s="0" t="s">
        <v>861</v>
      </c>
      <c r="C87" s="0" t="s">
        <v>61</v>
      </c>
    </row>
    <row r="88" customFormat="false" ht="15" hidden="false" customHeight="false" outlineLevel="0" collapsed="false">
      <c r="A88" s="0" t="s">
        <v>862</v>
      </c>
      <c r="B88" s="0" t="s">
        <v>863</v>
      </c>
      <c r="C88" s="0" t="s">
        <v>61</v>
      </c>
    </row>
    <row r="89" customFormat="false" ht="15" hidden="false" customHeight="false" outlineLevel="0" collapsed="false">
      <c r="A89" s="0" t="s">
        <v>864</v>
      </c>
      <c r="B89" s="0" t="s">
        <v>865</v>
      </c>
      <c r="C89" s="0" t="s">
        <v>61</v>
      </c>
    </row>
    <row r="90" customFormat="false" ht="15" hidden="false" customHeight="false" outlineLevel="0" collapsed="false">
      <c r="A90" s="0" t="s">
        <v>866</v>
      </c>
      <c r="B90" s="0" t="s">
        <v>867</v>
      </c>
      <c r="C90" s="0" t="s">
        <v>61</v>
      </c>
    </row>
    <row r="91" customFormat="false" ht="15" hidden="false" customHeight="false" outlineLevel="0" collapsed="false">
      <c r="A91" s="0" t="s">
        <v>868</v>
      </c>
      <c r="B91" s="0" t="s">
        <v>869</v>
      </c>
      <c r="C91" s="0" t="s">
        <v>61</v>
      </c>
    </row>
    <row r="92" customFormat="false" ht="15" hidden="false" customHeight="false" outlineLevel="0" collapsed="false">
      <c r="A92" s="0" t="s">
        <v>870</v>
      </c>
      <c r="B92" s="0" t="s">
        <v>871</v>
      </c>
      <c r="C92" s="0" t="s">
        <v>61</v>
      </c>
    </row>
    <row r="93" customFormat="false" ht="15" hidden="false" customHeight="false" outlineLevel="0" collapsed="false">
      <c r="A93" s="0" t="s">
        <v>872</v>
      </c>
      <c r="B93" s="0" t="s">
        <v>873</v>
      </c>
      <c r="C93" s="0" t="s">
        <v>61</v>
      </c>
    </row>
    <row r="94" customFormat="false" ht="15" hidden="false" customHeight="false" outlineLevel="0" collapsed="false">
      <c r="A94" s="0" t="s">
        <v>874</v>
      </c>
      <c r="B94" s="0" t="s">
        <v>875</v>
      </c>
      <c r="C94" s="0" t="s">
        <v>61</v>
      </c>
    </row>
    <row r="95" customFormat="false" ht="15" hidden="false" customHeight="false" outlineLevel="0" collapsed="false">
      <c r="A95" s="0" t="s">
        <v>876</v>
      </c>
      <c r="B95" s="0" t="s">
        <v>877</v>
      </c>
      <c r="C95" s="0" t="s">
        <v>61</v>
      </c>
    </row>
    <row r="96" customFormat="false" ht="15" hidden="false" customHeight="false" outlineLevel="0" collapsed="false">
      <c r="A96" s="0" t="s">
        <v>878</v>
      </c>
      <c r="B96" s="0" t="s">
        <v>879</v>
      </c>
      <c r="C96" s="0" t="s">
        <v>61</v>
      </c>
    </row>
    <row r="97" customFormat="false" ht="15" hidden="false" customHeight="false" outlineLevel="0" collapsed="false">
      <c r="A97" s="0" t="s">
        <v>880</v>
      </c>
      <c r="B97" s="0" t="s">
        <v>881</v>
      </c>
      <c r="C97" s="0" t="s">
        <v>61</v>
      </c>
    </row>
    <row r="98" customFormat="false" ht="15" hidden="false" customHeight="false" outlineLevel="0" collapsed="false">
      <c r="A98" s="0" t="s">
        <v>882</v>
      </c>
      <c r="B98" s="0" t="s">
        <v>883</v>
      </c>
      <c r="C98" s="0" t="s">
        <v>61</v>
      </c>
    </row>
    <row r="99" customFormat="false" ht="15" hidden="false" customHeight="false" outlineLevel="0" collapsed="false">
      <c r="A99" s="0" t="s">
        <v>884</v>
      </c>
      <c r="B99" s="0" t="s">
        <v>427</v>
      </c>
      <c r="C99" s="0" t="s">
        <v>61</v>
      </c>
    </row>
    <row r="100" customFormat="false" ht="15" hidden="false" customHeight="false" outlineLevel="0" collapsed="false">
      <c r="A100" s="0" t="s">
        <v>885</v>
      </c>
      <c r="B100" s="0" t="s">
        <v>886</v>
      </c>
      <c r="C100" s="0" t="s">
        <v>61</v>
      </c>
    </row>
    <row r="101" customFormat="false" ht="15" hidden="false" customHeight="false" outlineLevel="0" collapsed="false">
      <c r="A101" s="0" t="s">
        <v>887</v>
      </c>
      <c r="B101" s="0" t="s">
        <v>888</v>
      </c>
      <c r="C101" s="0" t="s">
        <v>61</v>
      </c>
    </row>
    <row r="102" customFormat="false" ht="15" hidden="false" customHeight="false" outlineLevel="0" collapsed="false">
      <c r="A102" s="0" t="s">
        <v>889</v>
      </c>
      <c r="B102" s="0" t="s">
        <v>890</v>
      </c>
      <c r="C102" s="0" t="s">
        <v>61</v>
      </c>
    </row>
    <row r="103" customFormat="false" ht="15" hidden="false" customHeight="false" outlineLevel="0" collapsed="false">
      <c r="A103" s="0" t="s">
        <v>891</v>
      </c>
      <c r="B103" s="0" t="s">
        <v>892</v>
      </c>
      <c r="C103" s="0" t="s">
        <v>61</v>
      </c>
    </row>
    <row r="104" customFormat="false" ht="15" hidden="false" customHeight="false" outlineLevel="0" collapsed="false">
      <c r="A104" s="0" t="s">
        <v>893</v>
      </c>
      <c r="B104" s="0" t="s">
        <v>894</v>
      </c>
      <c r="C104" s="0" t="s">
        <v>61</v>
      </c>
    </row>
    <row r="105" customFormat="false" ht="15" hidden="false" customHeight="false" outlineLevel="0" collapsed="false">
      <c r="A105" s="0" t="s">
        <v>895</v>
      </c>
      <c r="B105" s="0" t="s">
        <v>896</v>
      </c>
      <c r="C105" s="0" t="s">
        <v>61</v>
      </c>
    </row>
    <row r="106" customFormat="false" ht="15" hidden="false" customHeight="false" outlineLevel="0" collapsed="false">
      <c r="A106" s="0" t="s">
        <v>897</v>
      </c>
      <c r="B106" s="0" t="s">
        <v>898</v>
      </c>
      <c r="C106" s="0" t="s">
        <v>61</v>
      </c>
    </row>
    <row r="107" customFormat="false" ht="15" hidden="false" customHeight="false" outlineLevel="0" collapsed="false">
      <c r="A107" s="0" t="s">
        <v>899</v>
      </c>
      <c r="B107" s="0" t="s">
        <v>900</v>
      </c>
      <c r="C107" s="0" t="s">
        <v>61</v>
      </c>
    </row>
    <row r="108" customFormat="false" ht="15" hidden="false" customHeight="false" outlineLevel="0" collapsed="false">
      <c r="A108" s="0" t="s">
        <v>901</v>
      </c>
      <c r="B108" s="0" t="s">
        <v>902</v>
      </c>
      <c r="C108" s="0" t="s">
        <v>61</v>
      </c>
    </row>
    <row r="109" customFormat="false" ht="15" hidden="false" customHeight="false" outlineLevel="0" collapsed="false">
      <c r="A109" s="0" t="s">
        <v>903</v>
      </c>
      <c r="B109" s="0" t="s">
        <v>904</v>
      </c>
      <c r="C109" s="0" t="s">
        <v>61</v>
      </c>
    </row>
    <row r="110" customFormat="false" ht="15" hidden="false" customHeight="false" outlineLevel="0" collapsed="false">
      <c r="A110" s="0" t="s">
        <v>906</v>
      </c>
      <c r="B110" s="0" t="s">
        <v>907</v>
      </c>
      <c r="C110" s="0" t="s">
        <v>75</v>
      </c>
    </row>
    <row r="111" customFormat="false" ht="15" hidden="false" customHeight="false" outlineLevel="0" collapsed="false">
      <c r="A111" s="0" t="s">
        <v>908</v>
      </c>
      <c r="B111" s="0" t="s">
        <v>909</v>
      </c>
      <c r="C111" s="0" t="s">
        <v>61</v>
      </c>
    </row>
    <row r="112" customFormat="false" ht="15" hidden="false" customHeight="false" outlineLevel="0" collapsed="false">
      <c r="A112" s="0" t="s">
        <v>910</v>
      </c>
      <c r="B112" s="0" t="s">
        <v>911</v>
      </c>
      <c r="C112" s="0" t="s">
        <v>61</v>
      </c>
    </row>
    <row r="113" customFormat="false" ht="15" hidden="false" customHeight="false" outlineLevel="0" collapsed="false">
      <c r="A113" s="0" t="s">
        <v>912</v>
      </c>
      <c r="B113" s="0" t="s">
        <v>772</v>
      </c>
      <c r="C113" s="0" t="s">
        <v>773</v>
      </c>
    </row>
    <row r="114" customFormat="false" ht="15" hidden="false" customHeight="false" outlineLevel="0" collapsed="false">
      <c r="A114" s="0" t="s">
        <v>913</v>
      </c>
      <c r="B114" s="0" t="s">
        <v>775</v>
      </c>
      <c r="C114" s="0" t="s">
        <v>773</v>
      </c>
    </row>
    <row r="115" customFormat="false" ht="15" hidden="false" customHeight="false" outlineLevel="0" collapsed="false">
      <c r="A115" s="0" t="s">
        <v>915</v>
      </c>
      <c r="B115" s="0" t="s">
        <v>916</v>
      </c>
      <c r="C115" s="0" t="s">
        <v>61</v>
      </c>
    </row>
    <row r="116" customFormat="false" ht="15" hidden="false" customHeight="false" outlineLevel="0" collapsed="false">
      <c r="A116" s="0" t="s">
        <v>918</v>
      </c>
      <c r="B116" s="0" t="s">
        <v>919</v>
      </c>
      <c r="C116" s="0" t="s">
        <v>61</v>
      </c>
    </row>
    <row r="117" customFormat="false" ht="15" hidden="false" customHeight="false" outlineLevel="0" collapsed="false">
      <c r="A117" s="0" t="s">
        <v>920</v>
      </c>
      <c r="B117" s="0" t="s">
        <v>921</v>
      </c>
      <c r="C117" s="0" t="s">
        <v>61</v>
      </c>
    </row>
    <row r="118" customFormat="false" ht="15" hidden="false" customHeight="false" outlineLevel="0" collapsed="false">
      <c r="A118" s="0" t="s">
        <v>923</v>
      </c>
      <c r="B118" s="0" t="s">
        <v>924</v>
      </c>
      <c r="C118" s="0" t="s">
        <v>925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2026-10-08T00:27:35Z</dcterms:created>
  <dc:creator>openpyxl</dc:creator>
  <dc:description/>
  <dc:language>en-US</dc:language>
  <cp:lastModifiedBy/>
  <dcterms:modified xsi:type="dcterms:W3CDTF">2026-10-08T00:27:38Z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